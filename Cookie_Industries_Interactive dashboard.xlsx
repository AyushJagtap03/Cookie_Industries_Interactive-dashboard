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yush Jagtap\OneDrive\Documents\Projects\Financial Analysis Projects\"/>
    </mc:Choice>
  </mc:AlternateContent>
  <xr:revisionPtr revIDLastSave="0" documentId="13_ncr:1_{B2B78A13-F715-45B4-B4A4-3A2694CD5C25}" xr6:coauthVersionLast="47" xr6:coauthVersionMax="47" xr10:uidLastSave="{00000000-0000-0000-0000-000000000000}"/>
  <bookViews>
    <workbookView xWindow="-110" yWindow="-110" windowWidth="19420" windowHeight="12220" firstSheet="2" activeTab="6" xr2:uid="{597A0B55-1CE2-4EF6-B44C-48AC48E6928B}"/>
  </bookViews>
  <sheets>
    <sheet name="Project Overview" sheetId="7" r:id="rId1"/>
    <sheet name="Data" sheetId="1" r:id="rId2"/>
    <sheet name="KPI_Analysis" sheetId="6" r:id="rId3"/>
    <sheet name="Cleaned_Data" sheetId="2" r:id="rId4"/>
    <sheet name="Pivot_Units" sheetId="4" r:id="rId5"/>
    <sheet name="Pivot_Sales" sheetId="3" r:id="rId6"/>
    <sheet name="Dashboard" sheetId="5" r:id="rId7"/>
  </sheets>
  <definedNames>
    <definedName name="_xlnm._FilterDatabase" localSheetId="0" hidden="1">Data!$A$1:$K$701</definedName>
    <definedName name="ExternalData_1" localSheetId="2" hidden="1">Cleaned_Data!$A$1:$K$701</definedName>
    <definedName name="Slicer_Country">#N/A</definedName>
    <definedName name="Slicer_Product">#N/A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H2" i="1"/>
  <c r="F3" i="1"/>
  <c r="H3" i="1"/>
  <c r="F4" i="1"/>
  <c r="H4" i="1" s="1"/>
  <c r="F5" i="1"/>
  <c r="H5" i="1"/>
  <c r="F6" i="1"/>
  <c r="H6" i="1"/>
  <c r="F7" i="1"/>
  <c r="H7" i="1"/>
  <c r="F8" i="1"/>
  <c r="H8" i="1"/>
  <c r="F9" i="1"/>
  <c r="H9" i="1"/>
  <c r="F10" i="1"/>
  <c r="H10" i="1"/>
  <c r="F11" i="1"/>
  <c r="H11" i="1"/>
  <c r="F12" i="1"/>
  <c r="H12" i="1" s="1"/>
  <c r="F13" i="1"/>
  <c r="H13" i="1"/>
  <c r="F14" i="1"/>
  <c r="H14" i="1"/>
  <c r="F15" i="1"/>
  <c r="H15" i="1"/>
  <c r="F16" i="1"/>
  <c r="H16" i="1"/>
  <c r="F17" i="1"/>
  <c r="H17" i="1"/>
  <c r="F18" i="1"/>
  <c r="H18" i="1"/>
  <c r="F19" i="1"/>
  <c r="H19" i="1"/>
  <c r="F20" i="1"/>
  <c r="H20" i="1" s="1"/>
  <c r="F21" i="1"/>
  <c r="H21" i="1"/>
  <c r="F22" i="1"/>
  <c r="H22" i="1"/>
  <c r="F23" i="1"/>
  <c r="H23" i="1"/>
  <c r="F24" i="1"/>
  <c r="H24" i="1"/>
  <c r="F25" i="1"/>
  <c r="H25" i="1"/>
  <c r="F26" i="1"/>
  <c r="H26" i="1"/>
  <c r="F27" i="1"/>
  <c r="H27" i="1" s="1"/>
  <c r="F28" i="1"/>
  <c r="H28" i="1" s="1"/>
  <c r="F29" i="1"/>
  <c r="H29" i="1"/>
  <c r="F30" i="1"/>
  <c r="H30" i="1" s="1"/>
  <c r="F31" i="1"/>
  <c r="H31" i="1"/>
  <c r="F32" i="1"/>
  <c r="H32" i="1"/>
  <c r="F33" i="1"/>
  <c r="H33" i="1"/>
  <c r="F34" i="1"/>
  <c r="H34" i="1"/>
  <c r="F35" i="1"/>
  <c r="H35" i="1"/>
  <c r="F36" i="1"/>
  <c r="H36" i="1" s="1"/>
  <c r="F37" i="1"/>
  <c r="H37" i="1"/>
  <c r="F38" i="1"/>
  <c r="H38" i="1"/>
  <c r="F39" i="1"/>
  <c r="H39" i="1"/>
  <c r="F40" i="1"/>
  <c r="H40" i="1"/>
  <c r="F41" i="1"/>
  <c r="H41" i="1"/>
  <c r="F42" i="1"/>
  <c r="H42" i="1"/>
  <c r="F43" i="1"/>
  <c r="H43" i="1"/>
  <c r="F44" i="1"/>
  <c r="H44" i="1" s="1"/>
  <c r="F45" i="1"/>
  <c r="H45" i="1"/>
  <c r="F46" i="1"/>
  <c r="H46" i="1"/>
  <c r="F47" i="1"/>
  <c r="H47" i="1" s="1"/>
  <c r="F48" i="1"/>
  <c r="H48" i="1"/>
  <c r="F49" i="1"/>
  <c r="H49" i="1"/>
  <c r="F50" i="1"/>
  <c r="H50" i="1"/>
  <c r="F51" i="1"/>
  <c r="H51" i="1"/>
  <c r="F52" i="1"/>
  <c r="H52" i="1" s="1"/>
  <c r="F53" i="1"/>
  <c r="H53" i="1"/>
  <c r="F54" i="1"/>
  <c r="H54" i="1"/>
  <c r="F55" i="1"/>
  <c r="H55" i="1"/>
  <c r="F56" i="1"/>
  <c r="H56" i="1"/>
  <c r="F57" i="1"/>
  <c r="H57" i="1"/>
  <c r="F58" i="1"/>
  <c r="H58" i="1"/>
  <c r="F59" i="1"/>
  <c r="H59" i="1"/>
  <c r="F60" i="1"/>
  <c r="H60" i="1" s="1"/>
  <c r="F61" i="1"/>
  <c r="H61" i="1"/>
  <c r="F62" i="1"/>
  <c r="H62" i="1"/>
  <c r="F63" i="1"/>
  <c r="H63" i="1"/>
  <c r="F64" i="1"/>
  <c r="H64" i="1" s="1"/>
  <c r="F65" i="1"/>
  <c r="H65" i="1"/>
  <c r="F66" i="1"/>
  <c r="H66" i="1"/>
  <c r="F67" i="1"/>
  <c r="H67" i="1"/>
  <c r="F68" i="1"/>
  <c r="H68" i="1" s="1"/>
  <c r="F69" i="1"/>
  <c r="H69" i="1"/>
  <c r="F70" i="1"/>
  <c r="H70" i="1" s="1"/>
  <c r="F71" i="1"/>
  <c r="H71" i="1"/>
  <c r="F72" i="1"/>
  <c r="H72" i="1"/>
  <c r="F73" i="1"/>
  <c r="H73" i="1"/>
  <c r="F74" i="1"/>
  <c r="H74" i="1"/>
  <c r="F75" i="1"/>
  <c r="H75" i="1"/>
  <c r="F76" i="1"/>
  <c r="H76" i="1" s="1"/>
  <c r="F77" i="1"/>
  <c r="H77" i="1"/>
  <c r="F78" i="1"/>
  <c r="H78" i="1"/>
  <c r="F79" i="1"/>
  <c r="H79" i="1"/>
  <c r="F80" i="1"/>
  <c r="H80" i="1"/>
  <c r="F81" i="1"/>
  <c r="H81" i="1" s="1"/>
  <c r="F82" i="1"/>
  <c r="H82" i="1"/>
  <c r="F83" i="1"/>
  <c r="H83" i="1"/>
  <c r="F84" i="1"/>
  <c r="H84" i="1" s="1"/>
  <c r="F85" i="1"/>
  <c r="H85" i="1"/>
  <c r="F86" i="1"/>
  <c r="H86" i="1"/>
  <c r="F87" i="1"/>
  <c r="H87" i="1" s="1"/>
  <c r="F88" i="1"/>
  <c r="H88" i="1"/>
  <c r="F89" i="1"/>
  <c r="H89" i="1"/>
  <c r="F90" i="1"/>
  <c r="H90" i="1"/>
  <c r="F91" i="1"/>
  <c r="H91" i="1"/>
  <c r="F92" i="1"/>
  <c r="H92" i="1" s="1"/>
  <c r="F93" i="1"/>
  <c r="H93" i="1"/>
  <c r="F94" i="1"/>
  <c r="H94" i="1"/>
  <c r="F95" i="1"/>
  <c r="H95" i="1"/>
  <c r="F96" i="1"/>
  <c r="H96" i="1"/>
  <c r="F97" i="1"/>
  <c r="H97" i="1"/>
  <c r="F98" i="1"/>
  <c r="H98" i="1"/>
  <c r="F99" i="1"/>
  <c r="H99" i="1"/>
  <c r="F100" i="1"/>
  <c r="H100" i="1" s="1"/>
  <c r="F101" i="1"/>
  <c r="H101" i="1"/>
  <c r="F102" i="1"/>
  <c r="H102" i="1"/>
  <c r="F103" i="1"/>
  <c r="H103" i="1"/>
  <c r="F104" i="1"/>
  <c r="H104" i="1" s="1"/>
  <c r="F105" i="1"/>
  <c r="H105" i="1"/>
  <c r="F106" i="1"/>
  <c r="H106" i="1"/>
  <c r="F107" i="1"/>
  <c r="H107" i="1"/>
  <c r="F108" i="1"/>
  <c r="H108" i="1" s="1"/>
  <c r="F109" i="1"/>
  <c r="H109" i="1"/>
  <c r="F110" i="1"/>
  <c r="H110" i="1"/>
  <c r="F111" i="1"/>
  <c r="H111" i="1"/>
  <c r="F112" i="1"/>
  <c r="H112" i="1"/>
  <c r="F113" i="1"/>
  <c r="H113" i="1"/>
  <c r="F114" i="1"/>
  <c r="H114" i="1"/>
  <c r="F115" i="1"/>
  <c r="H115" i="1" s="1"/>
  <c r="F116" i="1"/>
  <c r="H116" i="1" s="1"/>
  <c r="F117" i="1"/>
  <c r="H117" i="1"/>
  <c r="F118" i="1"/>
  <c r="H118" i="1"/>
  <c r="F119" i="1"/>
  <c r="H119" i="1"/>
  <c r="F120" i="1"/>
  <c r="H120" i="1"/>
  <c r="F121" i="1"/>
  <c r="H121" i="1" s="1"/>
  <c r="F122" i="1"/>
  <c r="H122" i="1"/>
  <c r="F123" i="1"/>
  <c r="H123" i="1"/>
  <c r="F124" i="1"/>
  <c r="H124" i="1" s="1"/>
  <c r="F125" i="1"/>
  <c r="H125" i="1"/>
  <c r="F126" i="1"/>
  <c r="H126" i="1"/>
  <c r="F127" i="1"/>
  <c r="H127" i="1"/>
  <c r="F128" i="1"/>
  <c r="H128" i="1"/>
  <c r="F129" i="1"/>
  <c r="H129" i="1"/>
  <c r="F130" i="1"/>
  <c r="H130" i="1"/>
  <c r="F131" i="1"/>
  <c r="H131" i="1"/>
  <c r="F132" i="1"/>
  <c r="H132" i="1" s="1"/>
  <c r="F133" i="1"/>
  <c r="H133" i="1"/>
  <c r="F134" i="1"/>
  <c r="H134" i="1"/>
  <c r="F135" i="1"/>
  <c r="H135" i="1"/>
  <c r="F136" i="1"/>
  <c r="H136" i="1"/>
  <c r="F137" i="1"/>
  <c r="H137" i="1"/>
  <c r="F138" i="1"/>
  <c r="H138" i="1"/>
  <c r="F139" i="1"/>
  <c r="H139" i="1"/>
  <c r="F140" i="1"/>
  <c r="H140" i="1" s="1"/>
  <c r="F141" i="1"/>
  <c r="H141" i="1"/>
  <c r="F142" i="1"/>
  <c r="H142" i="1"/>
  <c r="F143" i="1"/>
  <c r="H143" i="1"/>
  <c r="F144" i="1"/>
  <c r="H144" i="1"/>
  <c r="F145" i="1"/>
  <c r="H145" i="1"/>
  <c r="F146" i="1"/>
  <c r="H146" i="1"/>
  <c r="F147" i="1"/>
  <c r="H147" i="1"/>
  <c r="F148" i="1"/>
  <c r="H148" i="1" s="1"/>
  <c r="F149" i="1"/>
  <c r="H149" i="1"/>
  <c r="F150" i="1"/>
  <c r="H150" i="1"/>
  <c r="F151" i="1"/>
  <c r="H151" i="1"/>
  <c r="F152" i="1"/>
  <c r="H152" i="1"/>
  <c r="F153" i="1"/>
  <c r="H153" i="1"/>
  <c r="F154" i="1"/>
  <c r="H154" i="1"/>
  <c r="F155" i="1"/>
  <c r="H155" i="1" s="1"/>
  <c r="F156" i="1"/>
  <c r="H156" i="1" s="1"/>
  <c r="F157" i="1"/>
  <c r="H157" i="1"/>
  <c r="F158" i="1"/>
  <c r="H158" i="1" s="1"/>
  <c r="F159" i="1"/>
  <c r="H159" i="1"/>
  <c r="F160" i="1"/>
  <c r="H160" i="1"/>
  <c r="F161" i="1"/>
  <c r="H161" i="1"/>
  <c r="F162" i="1"/>
  <c r="H162" i="1"/>
  <c r="F163" i="1"/>
  <c r="H163" i="1"/>
  <c r="F164" i="1"/>
  <c r="H164" i="1" s="1"/>
  <c r="F165" i="1"/>
  <c r="H165" i="1"/>
  <c r="F166" i="1"/>
  <c r="H166" i="1"/>
  <c r="F167" i="1"/>
  <c r="H167" i="1"/>
  <c r="F168" i="1"/>
  <c r="H168" i="1"/>
  <c r="F169" i="1"/>
  <c r="H169" i="1"/>
  <c r="F170" i="1"/>
  <c r="H170" i="1"/>
  <c r="F171" i="1"/>
  <c r="H171" i="1"/>
  <c r="F172" i="1"/>
  <c r="H172" i="1" s="1"/>
  <c r="F173" i="1"/>
  <c r="H173" i="1"/>
  <c r="F174" i="1"/>
  <c r="H174" i="1"/>
  <c r="F175" i="1"/>
  <c r="H175" i="1" s="1"/>
  <c r="F176" i="1"/>
  <c r="H176" i="1"/>
  <c r="F177" i="1"/>
  <c r="H177" i="1"/>
  <c r="F178" i="1"/>
  <c r="H178" i="1"/>
  <c r="F179" i="1"/>
  <c r="H179" i="1"/>
  <c r="F180" i="1"/>
  <c r="H180" i="1" s="1"/>
  <c r="F181" i="1"/>
  <c r="H181" i="1"/>
  <c r="F182" i="1"/>
  <c r="H182" i="1"/>
  <c r="F183" i="1"/>
  <c r="H183" i="1"/>
  <c r="F184" i="1"/>
  <c r="H184" i="1"/>
  <c r="F185" i="1"/>
  <c r="H185" i="1"/>
  <c r="F186" i="1"/>
  <c r="H186" i="1"/>
  <c r="F187" i="1"/>
  <c r="H187" i="1"/>
  <c r="F188" i="1"/>
  <c r="H188" i="1" s="1"/>
  <c r="F189" i="1"/>
  <c r="H189" i="1"/>
  <c r="F190" i="1"/>
  <c r="H190" i="1"/>
  <c r="F191" i="1"/>
  <c r="H191" i="1"/>
  <c r="F192" i="1"/>
  <c r="H192" i="1" s="1"/>
  <c r="F193" i="1"/>
  <c r="H193" i="1"/>
  <c r="F194" i="1"/>
  <c r="H194" i="1"/>
  <c r="F195" i="1"/>
  <c r="H195" i="1"/>
  <c r="F196" i="1"/>
  <c r="H196" i="1" s="1"/>
  <c r="F197" i="1"/>
  <c r="H197" i="1"/>
  <c r="F198" i="1"/>
  <c r="H198" i="1" s="1"/>
  <c r="F199" i="1"/>
  <c r="H199" i="1"/>
  <c r="F200" i="1"/>
  <c r="H200" i="1"/>
  <c r="F201" i="1"/>
  <c r="H201" i="1"/>
  <c r="F202" i="1"/>
  <c r="H202" i="1"/>
  <c r="F203" i="1"/>
  <c r="H203" i="1"/>
  <c r="F204" i="1"/>
  <c r="H204" i="1" s="1"/>
  <c r="F205" i="1"/>
  <c r="H205" i="1"/>
  <c r="F206" i="1"/>
  <c r="H206" i="1"/>
  <c r="F207" i="1"/>
  <c r="H207" i="1"/>
  <c r="F208" i="1"/>
  <c r="H208" i="1"/>
  <c r="F209" i="1"/>
  <c r="H209" i="1" s="1"/>
  <c r="F210" i="1"/>
  <c r="H210" i="1"/>
  <c r="F211" i="1"/>
  <c r="H211" i="1"/>
  <c r="F212" i="1"/>
  <c r="H212" i="1" s="1"/>
  <c r="F213" i="1"/>
  <c r="H213" i="1"/>
  <c r="F214" i="1"/>
  <c r="H214" i="1"/>
  <c r="F215" i="1"/>
  <c r="H215" i="1" s="1"/>
  <c r="F216" i="1"/>
  <c r="H216" i="1"/>
  <c r="F217" i="1"/>
  <c r="H217" i="1"/>
  <c r="F218" i="1"/>
  <c r="H218" i="1"/>
  <c r="F219" i="1"/>
  <c r="H219" i="1"/>
  <c r="F220" i="1"/>
  <c r="H220" i="1" s="1"/>
  <c r="F221" i="1"/>
  <c r="H221" i="1"/>
  <c r="F222" i="1"/>
  <c r="H222" i="1"/>
  <c r="F223" i="1"/>
  <c r="H223" i="1"/>
  <c r="F224" i="1"/>
  <c r="H224" i="1"/>
  <c r="F225" i="1"/>
  <c r="H225" i="1"/>
  <c r="F226" i="1"/>
  <c r="H226" i="1"/>
  <c r="F227" i="1"/>
  <c r="H227" i="1"/>
  <c r="F228" i="1"/>
  <c r="H228" i="1" s="1"/>
  <c r="F229" i="1"/>
  <c r="H229" i="1"/>
  <c r="F230" i="1"/>
  <c r="H230" i="1"/>
  <c r="F231" i="1"/>
  <c r="H231" i="1"/>
  <c r="F232" i="1"/>
  <c r="H232" i="1" s="1"/>
  <c r="F233" i="1"/>
  <c r="H233" i="1"/>
  <c r="F234" i="1"/>
  <c r="H234" i="1"/>
  <c r="F235" i="1"/>
  <c r="H235" i="1"/>
  <c r="F236" i="1"/>
  <c r="H236" i="1" s="1"/>
  <c r="F237" i="1"/>
  <c r="H237" i="1"/>
  <c r="F238" i="1"/>
  <c r="H238" i="1"/>
  <c r="F239" i="1"/>
  <c r="H239" i="1"/>
  <c r="F240" i="1"/>
  <c r="H240" i="1"/>
  <c r="F241" i="1"/>
  <c r="H241" i="1"/>
  <c r="F242" i="1"/>
  <c r="H242" i="1"/>
  <c r="F243" i="1"/>
  <c r="H243" i="1" s="1"/>
  <c r="F244" i="1"/>
  <c r="H244" i="1" s="1"/>
  <c r="F245" i="1"/>
  <c r="H245" i="1"/>
  <c r="F246" i="1"/>
  <c r="H246" i="1"/>
  <c r="F247" i="1"/>
  <c r="H247" i="1"/>
  <c r="F248" i="1"/>
  <c r="H248" i="1"/>
  <c r="F249" i="1"/>
  <c r="H249" i="1" s="1"/>
  <c r="F250" i="1"/>
  <c r="H250" i="1"/>
  <c r="F251" i="1"/>
  <c r="H251" i="1"/>
  <c r="F252" i="1"/>
  <c r="H252" i="1" s="1"/>
  <c r="F253" i="1"/>
  <c r="H253" i="1"/>
  <c r="F254" i="1"/>
  <c r="H254" i="1"/>
  <c r="F255" i="1"/>
  <c r="H255" i="1"/>
  <c r="F256" i="1"/>
  <c r="H256" i="1"/>
  <c r="F257" i="1"/>
  <c r="H257" i="1"/>
  <c r="F258" i="1"/>
  <c r="H258" i="1"/>
  <c r="F259" i="1"/>
  <c r="H259" i="1"/>
  <c r="F260" i="1"/>
  <c r="H260" i="1" s="1"/>
  <c r="F261" i="1"/>
  <c r="H261" i="1"/>
  <c r="F262" i="1"/>
  <c r="H262" i="1"/>
  <c r="F263" i="1"/>
  <c r="H263" i="1"/>
  <c r="F264" i="1"/>
  <c r="H264" i="1"/>
  <c r="F265" i="1"/>
  <c r="H265" i="1"/>
  <c r="F266" i="1"/>
  <c r="H266" i="1"/>
  <c r="F267" i="1"/>
  <c r="H267" i="1"/>
  <c r="F268" i="1"/>
  <c r="H268" i="1" s="1"/>
  <c r="F269" i="1"/>
  <c r="H269" i="1"/>
  <c r="F270" i="1"/>
  <c r="H270" i="1"/>
  <c r="F271" i="1"/>
  <c r="H271" i="1"/>
  <c r="F272" i="1"/>
  <c r="H272" i="1"/>
  <c r="F273" i="1"/>
  <c r="H273" i="1"/>
  <c r="F274" i="1"/>
  <c r="H274" i="1"/>
  <c r="F275" i="1"/>
  <c r="H275" i="1"/>
  <c r="F276" i="1"/>
  <c r="H276" i="1" s="1"/>
  <c r="F277" i="1"/>
  <c r="H277" i="1"/>
  <c r="F278" i="1"/>
  <c r="H278" i="1"/>
  <c r="F279" i="1"/>
  <c r="H279" i="1"/>
  <c r="F280" i="1"/>
  <c r="H280" i="1"/>
  <c r="F281" i="1"/>
  <c r="H281" i="1"/>
  <c r="F282" i="1"/>
  <c r="H282" i="1"/>
  <c r="F283" i="1"/>
  <c r="H283" i="1" s="1"/>
  <c r="F284" i="1"/>
  <c r="H284" i="1" s="1"/>
  <c r="F285" i="1"/>
  <c r="H285" i="1"/>
  <c r="F286" i="1"/>
  <c r="H286" i="1" s="1"/>
  <c r="F287" i="1"/>
  <c r="H287" i="1"/>
  <c r="F288" i="1"/>
  <c r="H288" i="1"/>
  <c r="F289" i="1"/>
  <c r="H289" i="1"/>
  <c r="F290" i="1"/>
  <c r="H290" i="1"/>
  <c r="F291" i="1"/>
  <c r="H291" i="1"/>
  <c r="F292" i="1"/>
  <c r="H292" i="1" s="1"/>
  <c r="F293" i="1"/>
  <c r="H293" i="1"/>
  <c r="F294" i="1"/>
  <c r="H294" i="1"/>
  <c r="F295" i="1"/>
  <c r="H295" i="1"/>
  <c r="F296" i="1"/>
  <c r="H296" i="1"/>
  <c r="F297" i="1"/>
  <c r="H297" i="1"/>
  <c r="F298" i="1"/>
  <c r="H298" i="1"/>
  <c r="F299" i="1"/>
  <c r="H299" i="1"/>
  <c r="F300" i="1"/>
  <c r="H300" i="1" s="1"/>
  <c r="F301" i="1"/>
  <c r="H301" i="1"/>
  <c r="F302" i="1"/>
  <c r="H302" i="1"/>
  <c r="F303" i="1"/>
  <c r="H303" i="1" s="1"/>
  <c r="F304" i="1"/>
  <c r="H304" i="1"/>
  <c r="F305" i="1"/>
  <c r="H305" i="1"/>
  <c r="F306" i="1"/>
  <c r="H306" i="1"/>
  <c r="F307" i="1"/>
  <c r="H307" i="1"/>
  <c r="F308" i="1"/>
  <c r="H308" i="1" s="1"/>
  <c r="F309" i="1"/>
  <c r="H309" i="1"/>
  <c r="F310" i="1"/>
  <c r="H310" i="1"/>
  <c r="F311" i="1"/>
  <c r="H311" i="1"/>
  <c r="F312" i="1"/>
  <c r="H312" i="1"/>
  <c r="F313" i="1"/>
  <c r="H313" i="1"/>
  <c r="F314" i="1"/>
  <c r="H314" i="1"/>
  <c r="F315" i="1"/>
  <c r="H315" i="1"/>
  <c r="F316" i="1"/>
  <c r="H316" i="1" s="1"/>
  <c r="F317" i="1"/>
  <c r="H317" i="1"/>
  <c r="F318" i="1"/>
  <c r="H318" i="1"/>
  <c r="F319" i="1"/>
  <c r="H319" i="1"/>
  <c r="F320" i="1"/>
  <c r="H320" i="1" s="1"/>
  <c r="F321" i="1"/>
  <c r="H321" i="1"/>
  <c r="F322" i="1"/>
  <c r="H322" i="1"/>
  <c r="F323" i="1"/>
  <c r="H323" i="1"/>
  <c r="F324" i="1"/>
  <c r="H324" i="1" s="1"/>
  <c r="F325" i="1"/>
  <c r="H325" i="1"/>
  <c r="F326" i="1"/>
  <c r="H326" i="1" s="1"/>
  <c r="F327" i="1"/>
  <c r="H327" i="1"/>
  <c r="F328" i="1"/>
  <c r="H328" i="1"/>
  <c r="F329" i="1"/>
  <c r="H329" i="1"/>
  <c r="F330" i="1"/>
  <c r="H330" i="1"/>
  <c r="F331" i="1"/>
  <c r="H331" i="1"/>
  <c r="F332" i="1"/>
  <c r="H332" i="1" s="1"/>
  <c r="F333" i="1"/>
  <c r="H333" i="1"/>
  <c r="F334" i="1"/>
  <c r="H334" i="1"/>
  <c r="F335" i="1"/>
  <c r="H335" i="1"/>
  <c r="F336" i="1"/>
  <c r="H336" i="1"/>
  <c r="F337" i="1"/>
  <c r="H337" i="1" s="1"/>
  <c r="F338" i="1"/>
  <c r="H338" i="1"/>
  <c r="F339" i="1"/>
  <c r="H339" i="1"/>
  <c r="F340" i="1"/>
  <c r="H340" i="1" s="1"/>
  <c r="F341" i="1"/>
  <c r="H341" i="1"/>
  <c r="F342" i="1"/>
  <c r="H342" i="1"/>
  <c r="F343" i="1"/>
  <c r="H343" i="1" s="1"/>
  <c r="F344" i="1"/>
  <c r="H344" i="1"/>
  <c r="F345" i="1"/>
  <c r="H345" i="1"/>
  <c r="F346" i="1"/>
  <c r="H346" i="1"/>
  <c r="F347" i="1"/>
  <c r="H347" i="1"/>
  <c r="F348" i="1"/>
  <c r="H348" i="1" s="1"/>
  <c r="F349" i="1"/>
  <c r="H349" i="1"/>
  <c r="F350" i="1"/>
  <c r="H350" i="1"/>
  <c r="F351" i="1"/>
  <c r="H351" i="1"/>
  <c r="F352" i="1"/>
  <c r="H352" i="1"/>
  <c r="F353" i="1"/>
  <c r="H353" i="1"/>
  <c r="F354" i="1"/>
  <c r="H354" i="1"/>
  <c r="F355" i="1"/>
  <c r="H355" i="1"/>
  <c r="F356" i="1"/>
  <c r="H356" i="1" s="1"/>
  <c r="F357" i="1"/>
  <c r="H357" i="1"/>
  <c r="F358" i="1"/>
  <c r="H358" i="1"/>
  <c r="F359" i="1"/>
  <c r="H359" i="1"/>
  <c r="F360" i="1"/>
  <c r="H360" i="1" s="1"/>
  <c r="F361" i="1"/>
  <c r="H361" i="1"/>
  <c r="F362" i="1"/>
  <c r="H362" i="1"/>
  <c r="F363" i="1"/>
  <c r="H363" i="1"/>
  <c r="F364" i="1"/>
  <c r="H364" i="1" s="1"/>
  <c r="F365" i="1"/>
  <c r="H365" i="1"/>
  <c r="F366" i="1"/>
  <c r="H366" i="1"/>
  <c r="F367" i="1"/>
  <c r="H367" i="1"/>
  <c r="F368" i="1"/>
  <c r="H368" i="1"/>
  <c r="F369" i="1"/>
  <c r="H369" i="1"/>
  <c r="F370" i="1"/>
  <c r="H370" i="1"/>
  <c r="F371" i="1"/>
  <c r="H371" i="1" s="1"/>
  <c r="F372" i="1"/>
  <c r="H372" i="1" s="1"/>
  <c r="F373" i="1"/>
  <c r="H373" i="1"/>
  <c r="F374" i="1"/>
  <c r="H374" i="1"/>
  <c r="F375" i="1"/>
  <c r="H375" i="1"/>
  <c r="F376" i="1"/>
  <c r="H376" i="1"/>
  <c r="F377" i="1"/>
  <c r="H377" i="1" s="1"/>
  <c r="F378" i="1"/>
  <c r="H378" i="1"/>
  <c r="F379" i="1"/>
  <c r="H379" i="1"/>
  <c r="F380" i="1"/>
  <c r="H380" i="1" s="1"/>
  <c r="F381" i="1"/>
  <c r="H381" i="1"/>
  <c r="F382" i="1"/>
  <c r="H382" i="1"/>
  <c r="F383" i="1"/>
  <c r="H383" i="1"/>
  <c r="F384" i="1"/>
  <c r="H384" i="1"/>
  <c r="F385" i="1"/>
  <c r="H385" i="1"/>
  <c r="F386" i="1"/>
  <c r="H386" i="1"/>
  <c r="F387" i="1"/>
  <c r="H387" i="1"/>
  <c r="F388" i="1"/>
  <c r="H388" i="1" s="1"/>
  <c r="F389" i="1"/>
  <c r="H389" i="1"/>
  <c r="F390" i="1"/>
  <c r="H390" i="1"/>
  <c r="F391" i="1"/>
  <c r="H391" i="1"/>
  <c r="F392" i="1"/>
  <c r="H392" i="1"/>
  <c r="F393" i="1"/>
  <c r="H393" i="1"/>
  <c r="F394" i="1"/>
  <c r="H394" i="1"/>
  <c r="F395" i="1"/>
  <c r="H395" i="1"/>
  <c r="F396" i="1"/>
  <c r="H396" i="1" s="1"/>
  <c r="F397" i="1"/>
  <c r="H397" i="1"/>
  <c r="F398" i="1"/>
  <c r="H398" i="1"/>
  <c r="F399" i="1"/>
  <c r="H399" i="1"/>
  <c r="F400" i="1"/>
  <c r="H400" i="1"/>
  <c r="F401" i="1"/>
  <c r="H401" i="1"/>
  <c r="F402" i="1"/>
  <c r="H402" i="1"/>
  <c r="F403" i="1"/>
  <c r="H403" i="1"/>
  <c r="F404" i="1"/>
  <c r="H404" i="1" s="1"/>
  <c r="F405" i="1"/>
  <c r="H405" i="1"/>
  <c r="F406" i="1"/>
  <c r="H406" i="1"/>
  <c r="F407" i="1"/>
  <c r="H407" i="1"/>
  <c r="F408" i="1"/>
  <c r="H408" i="1"/>
  <c r="F409" i="1"/>
  <c r="H409" i="1"/>
  <c r="F410" i="1"/>
  <c r="H410" i="1"/>
  <c r="F411" i="1"/>
  <c r="H411" i="1" s="1"/>
  <c r="F412" i="1"/>
  <c r="H412" i="1" s="1"/>
  <c r="F413" i="1"/>
  <c r="H413" i="1"/>
  <c r="F414" i="1"/>
  <c r="H414" i="1" s="1"/>
  <c r="F415" i="1"/>
  <c r="H415" i="1"/>
  <c r="F416" i="1"/>
  <c r="H416" i="1"/>
  <c r="F417" i="1"/>
  <c r="H417" i="1"/>
  <c r="F418" i="1"/>
  <c r="H418" i="1"/>
  <c r="F419" i="1"/>
  <c r="H419" i="1"/>
  <c r="F420" i="1"/>
  <c r="H420" i="1" s="1"/>
  <c r="F421" i="1"/>
  <c r="H421" i="1"/>
  <c r="F422" i="1"/>
  <c r="H422" i="1"/>
  <c r="F423" i="1"/>
  <c r="H423" i="1"/>
  <c r="F424" i="1"/>
  <c r="H424" i="1"/>
  <c r="F425" i="1"/>
  <c r="H425" i="1"/>
  <c r="F426" i="1"/>
  <c r="H426" i="1"/>
  <c r="F427" i="1"/>
  <c r="H427" i="1"/>
  <c r="F428" i="1"/>
  <c r="H428" i="1" s="1"/>
  <c r="F429" i="1"/>
  <c r="H429" i="1"/>
  <c r="F430" i="1"/>
  <c r="H430" i="1"/>
  <c r="F431" i="1"/>
  <c r="H431" i="1" s="1"/>
  <c r="F432" i="1"/>
  <c r="H432" i="1"/>
  <c r="F433" i="1"/>
  <c r="H433" i="1"/>
  <c r="F434" i="1"/>
  <c r="H434" i="1"/>
  <c r="F435" i="1"/>
  <c r="H435" i="1"/>
  <c r="F436" i="1"/>
  <c r="H436" i="1" s="1"/>
  <c r="F437" i="1"/>
  <c r="H437" i="1"/>
  <c r="F438" i="1"/>
  <c r="H438" i="1"/>
  <c r="F439" i="1"/>
  <c r="H439" i="1"/>
  <c r="F440" i="1"/>
  <c r="H440" i="1"/>
  <c r="F441" i="1"/>
  <c r="H441" i="1"/>
  <c r="F442" i="1"/>
  <c r="H442" i="1"/>
  <c r="F443" i="1"/>
  <c r="H443" i="1"/>
  <c r="F444" i="1"/>
  <c r="H444" i="1" s="1"/>
  <c r="F445" i="1"/>
  <c r="H445" i="1"/>
  <c r="F446" i="1"/>
  <c r="H446" i="1"/>
  <c r="F447" i="1"/>
  <c r="H447" i="1"/>
  <c r="F448" i="1"/>
  <c r="H448" i="1" s="1"/>
  <c r="F449" i="1"/>
  <c r="H449" i="1"/>
  <c r="F450" i="1"/>
  <c r="H450" i="1"/>
  <c r="F451" i="1"/>
  <c r="H451" i="1"/>
  <c r="F452" i="1"/>
  <c r="H452" i="1" s="1"/>
  <c r="F453" i="1"/>
  <c r="H453" i="1"/>
  <c r="F454" i="1"/>
  <c r="H454" i="1" s="1"/>
  <c r="F455" i="1"/>
  <c r="H455" i="1"/>
  <c r="F456" i="1"/>
  <c r="H456" i="1"/>
  <c r="F457" i="1"/>
  <c r="H457" i="1"/>
  <c r="F458" i="1"/>
  <c r="H458" i="1"/>
  <c r="F459" i="1"/>
  <c r="H459" i="1"/>
  <c r="F460" i="1"/>
  <c r="H460" i="1" s="1"/>
  <c r="F461" i="1"/>
  <c r="H461" i="1"/>
  <c r="F462" i="1"/>
  <c r="H462" i="1"/>
  <c r="F463" i="1"/>
  <c r="H463" i="1"/>
  <c r="F464" i="1"/>
  <c r="H464" i="1"/>
  <c r="F465" i="1"/>
  <c r="H465" i="1" s="1"/>
  <c r="F466" i="1"/>
  <c r="H466" i="1"/>
  <c r="F467" i="1"/>
  <c r="H467" i="1"/>
  <c r="F468" i="1"/>
  <c r="H468" i="1" s="1"/>
  <c r="F469" i="1"/>
  <c r="H469" i="1"/>
  <c r="F470" i="1"/>
  <c r="H470" i="1"/>
  <c r="F471" i="1"/>
  <c r="H471" i="1" s="1"/>
  <c r="F472" i="1"/>
  <c r="H472" i="1"/>
  <c r="F473" i="1"/>
  <c r="H473" i="1"/>
  <c r="F474" i="1"/>
  <c r="H474" i="1"/>
  <c r="F475" i="1"/>
  <c r="H475" i="1"/>
  <c r="F476" i="1"/>
  <c r="H476" i="1" s="1"/>
  <c r="F477" i="1"/>
  <c r="H477" i="1"/>
  <c r="F478" i="1"/>
  <c r="H478" i="1"/>
  <c r="F479" i="1"/>
  <c r="H479" i="1"/>
  <c r="F480" i="1"/>
  <c r="H480" i="1"/>
  <c r="F481" i="1"/>
  <c r="H481" i="1"/>
  <c r="F482" i="1"/>
  <c r="H482" i="1"/>
  <c r="F483" i="1"/>
  <c r="H483" i="1"/>
  <c r="F484" i="1"/>
  <c r="H484" i="1" s="1"/>
  <c r="F485" i="1"/>
  <c r="H485" i="1"/>
  <c r="F486" i="1"/>
  <c r="H486" i="1"/>
  <c r="F487" i="1"/>
  <c r="H487" i="1"/>
  <c r="F488" i="1"/>
  <c r="H488" i="1" s="1"/>
  <c r="F489" i="1"/>
  <c r="H489" i="1"/>
  <c r="F490" i="1"/>
  <c r="H490" i="1"/>
  <c r="F491" i="1"/>
  <c r="H491" i="1"/>
  <c r="F492" i="1"/>
  <c r="H492" i="1" s="1"/>
  <c r="F493" i="1"/>
  <c r="H493" i="1"/>
  <c r="F494" i="1"/>
  <c r="H494" i="1"/>
  <c r="F495" i="1"/>
  <c r="H495" i="1"/>
  <c r="F496" i="1"/>
  <c r="H496" i="1"/>
  <c r="F497" i="1"/>
  <c r="H497" i="1"/>
  <c r="F498" i="1"/>
  <c r="H498" i="1"/>
  <c r="F499" i="1"/>
  <c r="H499" i="1" s="1"/>
  <c r="F500" i="1"/>
  <c r="H500" i="1" s="1"/>
  <c r="F501" i="1"/>
  <c r="H501" i="1"/>
  <c r="F502" i="1"/>
  <c r="H502" i="1"/>
  <c r="F503" i="1"/>
  <c r="H503" i="1"/>
  <c r="F504" i="1"/>
  <c r="H504" i="1"/>
  <c r="F505" i="1"/>
  <c r="H505" i="1" s="1"/>
  <c r="F506" i="1"/>
  <c r="H506" i="1"/>
  <c r="F507" i="1"/>
  <c r="H507" i="1"/>
  <c r="F508" i="1"/>
  <c r="H508" i="1" s="1"/>
  <c r="F509" i="1"/>
  <c r="H509" i="1"/>
  <c r="F510" i="1"/>
  <c r="H510" i="1"/>
  <c r="F511" i="1"/>
  <c r="H511" i="1"/>
  <c r="F512" i="1"/>
  <c r="H512" i="1"/>
  <c r="F513" i="1"/>
  <c r="H513" i="1"/>
  <c r="F514" i="1"/>
  <c r="H514" i="1"/>
  <c r="F515" i="1"/>
  <c r="H515" i="1"/>
  <c r="F516" i="1"/>
  <c r="H516" i="1" s="1"/>
  <c r="F517" i="1"/>
  <c r="H517" i="1"/>
  <c r="F518" i="1"/>
  <c r="H518" i="1"/>
  <c r="F519" i="1"/>
  <c r="H519" i="1"/>
  <c r="F520" i="1"/>
  <c r="H520" i="1"/>
  <c r="F521" i="1"/>
  <c r="H521" i="1"/>
  <c r="F522" i="1"/>
  <c r="H522" i="1"/>
  <c r="F523" i="1"/>
  <c r="H523" i="1"/>
  <c r="F524" i="1"/>
  <c r="H524" i="1" s="1"/>
  <c r="F525" i="1"/>
  <c r="H525" i="1"/>
  <c r="F526" i="1"/>
  <c r="H526" i="1"/>
  <c r="F527" i="1"/>
  <c r="H527" i="1"/>
  <c r="F528" i="1"/>
  <c r="H528" i="1"/>
  <c r="F529" i="1"/>
  <c r="H529" i="1"/>
  <c r="F530" i="1"/>
  <c r="H530" i="1"/>
  <c r="F531" i="1"/>
  <c r="H531" i="1"/>
  <c r="F532" i="1"/>
  <c r="H532" i="1" s="1"/>
  <c r="F533" i="1"/>
  <c r="H533" i="1"/>
  <c r="F534" i="1"/>
  <c r="H534" i="1"/>
  <c r="F535" i="1"/>
  <c r="H535" i="1"/>
  <c r="F536" i="1"/>
  <c r="H536" i="1"/>
  <c r="F537" i="1"/>
  <c r="H537" i="1"/>
  <c r="F538" i="1"/>
  <c r="H538" i="1"/>
  <c r="F539" i="1"/>
  <c r="H539" i="1" s="1"/>
  <c r="F540" i="1"/>
  <c r="H540" i="1" s="1"/>
  <c r="F541" i="1"/>
  <c r="H541" i="1"/>
  <c r="F542" i="1"/>
  <c r="H542" i="1" s="1"/>
  <c r="F543" i="1"/>
  <c r="H543" i="1"/>
  <c r="F544" i="1"/>
  <c r="H544" i="1"/>
  <c r="F545" i="1"/>
  <c r="H545" i="1"/>
  <c r="F546" i="1"/>
  <c r="H546" i="1"/>
  <c r="F547" i="1"/>
  <c r="H547" i="1"/>
  <c r="F548" i="1"/>
  <c r="H548" i="1" s="1"/>
  <c r="F549" i="1"/>
  <c r="H549" i="1"/>
  <c r="F550" i="1"/>
  <c r="H550" i="1"/>
  <c r="F551" i="1"/>
  <c r="H551" i="1"/>
  <c r="F552" i="1"/>
  <c r="H552" i="1"/>
  <c r="F553" i="1"/>
  <c r="H553" i="1"/>
  <c r="F554" i="1"/>
  <c r="H554" i="1"/>
  <c r="F555" i="1"/>
  <c r="H555" i="1"/>
  <c r="F556" i="1"/>
  <c r="H556" i="1" s="1"/>
  <c r="F557" i="1"/>
  <c r="H557" i="1"/>
  <c r="F558" i="1"/>
  <c r="H558" i="1"/>
  <c r="F559" i="1"/>
  <c r="H559" i="1" s="1"/>
  <c r="F560" i="1"/>
  <c r="H560" i="1"/>
  <c r="F561" i="1"/>
  <c r="H561" i="1"/>
  <c r="F562" i="1"/>
  <c r="H562" i="1"/>
  <c r="F563" i="1"/>
  <c r="H563" i="1"/>
  <c r="F564" i="1"/>
  <c r="H564" i="1" s="1"/>
  <c r="F565" i="1"/>
  <c r="H565" i="1"/>
  <c r="F566" i="1"/>
  <c r="H566" i="1"/>
  <c r="F567" i="1"/>
  <c r="H567" i="1"/>
  <c r="F568" i="1"/>
  <c r="H568" i="1"/>
  <c r="F569" i="1"/>
  <c r="H569" i="1"/>
  <c r="F570" i="1"/>
  <c r="H570" i="1"/>
  <c r="F571" i="1"/>
  <c r="H571" i="1"/>
  <c r="F572" i="1"/>
  <c r="H572" i="1" s="1"/>
  <c r="F573" i="1"/>
  <c r="H573" i="1"/>
  <c r="F574" i="1"/>
  <c r="H574" i="1"/>
  <c r="F575" i="1"/>
  <c r="H575" i="1"/>
  <c r="F576" i="1"/>
  <c r="H576" i="1" s="1"/>
  <c r="F577" i="1"/>
  <c r="H577" i="1"/>
  <c r="F578" i="1"/>
  <c r="H578" i="1"/>
  <c r="F579" i="1"/>
  <c r="H579" i="1"/>
  <c r="F580" i="1"/>
  <c r="H580" i="1" s="1"/>
  <c r="F581" i="1"/>
  <c r="H581" i="1"/>
  <c r="F582" i="1"/>
  <c r="H582" i="1" s="1"/>
  <c r="F583" i="1"/>
  <c r="H583" i="1"/>
  <c r="F584" i="1"/>
  <c r="H584" i="1"/>
  <c r="F585" i="1"/>
  <c r="H585" i="1"/>
  <c r="F586" i="1"/>
  <c r="H586" i="1"/>
  <c r="F587" i="1"/>
  <c r="H587" i="1"/>
  <c r="F588" i="1"/>
  <c r="H588" i="1" s="1"/>
  <c r="F589" i="1"/>
  <c r="H589" i="1"/>
  <c r="F590" i="1"/>
  <c r="H590" i="1"/>
  <c r="F591" i="1"/>
  <c r="H591" i="1"/>
  <c r="F592" i="1"/>
  <c r="H592" i="1"/>
  <c r="F593" i="1"/>
  <c r="H593" i="1" s="1"/>
  <c r="F594" i="1"/>
  <c r="H594" i="1"/>
  <c r="F595" i="1"/>
  <c r="H595" i="1"/>
  <c r="F596" i="1"/>
  <c r="H596" i="1" s="1"/>
  <c r="F597" i="1"/>
  <c r="H597" i="1"/>
  <c r="F598" i="1"/>
  <c r="H598" i="1"/>
  <c r="F599" i="1"/>
  <c r="H599" i="1" s="1"/>
  <c r="F600" i="1"/>
  <c r="H600" i="1"/>
  <c r="F601" i="1"/>
  <c r="H601" i="1"/>
  <c r="F602" i="1"/>
  <c r="H602" i="1"/>
  <c r="F603" i="1"/>
  <c r="H603" i="1"/>
  <c r="F604" i="1"/>
  <c r="H604" i="1" s="1"/>
  <c r="F605" i="1"/>
  <c r="H605" i="1"/>
  <c r="F606" i="1"/>
  <c r="H606" i="1"/>
  <c r="F607" i="1"/>
  <c r="H607" i="1"/>
  <c r="F608" i="1"/>
  <c r="H608" i="1"/>
  <c r="F609" i="1"/>
  <c r="H609" i="1"/>
  <c r="F610" i="1"/>
  <c r="H610" i="1" s="1"/>
  <c r="F611" i="1"/>
  <c r="H611" i="1"/>
  <c r="F612" i="1"/>
  <c r="H612" i="1" s="1"/>
  <c r="F613" i="1"/>
  <c r="H613" i="1"/>
  <c r="F614" i="1"/>
  <c r="H614" i="1"/>
  <c r="F615" i="1"/>
  <c r="H615" i="1"/>
  <c r="F616" i="1"/>
  <c r="H616" i="1" s="1"/>
  <c r="F617" i="1"/>
  <c r="H617" i="1"/>
  <c r="F618" i="1"/>
  <c r="H618" i="1"/>
  <c r="F619" i="1"/>
  <c r="H619" i="1"/>
  <c r="F620" i="1"/>
  <c r="H620" i="1" s="1"/>
  <c r="F621" i="1"/>
  <c r="H621" i="1"/>
  <c r="F622" i="1"/>
  <c r="H622" i="1"/>
  <c r="F623" i="1"/>
  <c r="H623" i="1"/>
  <c r="F624" i="1"/>
  <c r="H624" i="1"/>
  <c r="F625" i="1"/>
  <c r="H625" i="1"/>
  <c r="F626" i="1"/>
  <c r="H626" i="1"/>
  <c r="F627" i="1"/>
  <c r="H627" i="1" s="1"/>
  <c r="F628" i="1"/>
  <c r="H628" i="1" s="1"/>
  <c r="F629" i="1"/>
  <c r="H629" i="1"/>
  <c r="F630" i="1"/>
  <c r="H630" i="1"/>
  <c r="F631" i="1"/>
  <c r="H631" i="1"/>
  <c r="F632" i="1"/>
  <c r="H632" i="1"/>
  <c r="F633" i="1"/>
  <c r="H633" i="1" s="1"/>
  <c r="F634" i="1"/>
  <c r="H634" i="1"/>
  <c r="F635" i="1"/>
  <c r="H635" i="1"/>
  <c r="F636" i="1"/>
  <c r="H636" i="1" s="1"/>
  <c r="F637" i="1"/>
  <c r="H637" i="1"/>
  <c r="F638" i="1"/>
  <c r="H638" i="1"/>
  <c r="F639" i="1"/>
  <c r="H639" i="1"/>
  <c r="F640" i="1"/>
  <c r="H640" i="1"/>
  <c r="F641" i="1"/>
  <c r="H641" i="1"/>
  <c r="F642" i="1"/>
  <c r="H642" i="1"/>
  <c r="F643" i="1"/>
  <c r="H643" i="1"/>
  <c r="F644" i="1"/>
  <c r="H644" i="1" s="1"/>
  <c r="F645" i="1"/>
  <c r="H645" i="1"/>
  <c r="F646" i="1"/>
  <c r="H646" i="1"/>
  <c r="F647" i="1"/>
  <c r="H647" i="1"/>
  <c r="F648" i="1"/>
  <c r="H648" i="1"/>
  <c r="F649" i="1"/>
  <c r="H649" i="1"/>
  <c r="F650" i="1"/>
  <c r="H650" i="1" s="1"/>
  <c r="F651" i="1"/>
  <c r="H651" i="1"/>
  <c r="F652" i="1"/>
  <c r="H652" i="1" s="1"/>
  <c r="F653" i="1"/>
  <c r="H653" i="1"/>
  <c r="F654" i="1"/>
  <c r="H654" i="1"/>
  <c r="F655" i="1"/>
  <c r="H655" i="1"/>
  <c r="F656" i="1"/>
  <c r="H656" i="1"/>
  <c r="F657" i="1"/>
  <c r="H657" i="1"/>
  <c r="F658" i="1"/>
  <c r="H658" i="1"/>
  <c r="F659" i="1"/>
  <c r="H659" i="1"/>
  <c r="F660" i="1"/>
  <c r="H660" i="1" s="1"/>
  <c r="F661" i="1"/>
  <c r="H661" i="1"/>
  <c r="F662" i="1"/>
  <c r="H662" i="1"/>
  <c r="F663" i="1"/>
  <c r="H663" i="1"/>
  <c r="F664" i="1"/>
  <c r="H664" i="1"/>
  <c r="F665" i="1"/>
  <c r="H665" i="1"/>
  <c r="F666" i="1"/>
  <c r="H666" i="1"/>
  <c r="F667" i="1"/>
  <c r="H667" i="1" s="1"/>
  <c r="F668" i="1"/>
  <c r="H668" i="1" s="1"/>
  <c r="F669" i="1"/>
  <c r="H669" i="1"/>
  <c r="F670" i="1"/>
  <c r="H670" i="1" s="1"/>
  <c r="F671" i="1"/>
  <c r="H671" i="1"/>
  <c r="F672" i="1"/>
  <c r="H672" i="1"/>
  <c r="F673" i="1"/>
  <c r="H673" i="1"/>
  <c r="F674" i="1"/>
  <c r="H674" i="1"/>
  <c r="F675" i="1"/>
  <c r="H675" i="1"/>
  <c r="F676" i="1"/>
  <c r="H676" i="1" s="1"/>
  <c r="F677" i="1"/>
  <c r="H677" i="1"/>
  <c r="F678" i="1"/>
  <c r="H678" i="1"/>
  <c r="F679" i="1"/>
  <c r="H679" i="1"/>
  <c r="F680" i="1"/>
  <c r="H680" i="1"/>
  <c r="F681" i="1"/>
  <c r="H681" i="1"/>
  <c r="F682" i="1"/>
  <c r="H682" i="1"/>
  <c r="F683" i="1"/>
  <c r="H683" i="1"/>
  <c r="F684" i="1"/>
  <c r="H684" i="1" s="1"/>
  <c r="F685" i="1"/>
  <c r="H685" i="1"/>
  <c r="F686" i="1"/>
  <c r="H686" i="1"/>
  <c r="F687" i="1"/>
  <c r="H687" i="1"/>
  <c r="F688" i="1"/>
  <c r="H688" i="1"/>
  <c r="F689" i="1"/>
  <c r="H689" i="1"/>
  <c r="F690" i="1"/>
  <c r="H690" i="1"/>
  <c r="F691" i="1"/>
  <c r="H691" i="1"/>
  <c r="F692" i="1"/>
  <c r="H692" i="1" s="1"/>
  <c r="F693" i="1"/>
  <c r="H693" i="1"/>
  <c r="F694" i="1"/>
  <c r="H694" i="1"/>
  <c r="F695" i="1"/>
  <c r="H695" i="1"/>
  <c r="F696" i="1"/>
  <c r="H696" i="1"/>
  <c r="F697" i="1"/>
  <c r="H697" i="1"/>
  <c r="F698" i="1"/>
  <c r="H698" i="1"/>
  <c r="F699" i="1"/>
  <c r="H699" i="1"/>
  <c r="F700" i="1"/>
  <c r="H700" i="1" s="1"/>
  <c r="F701" i="1"/>
  <c r="H701" i="1"/>
  <c r="G10" i="5"/>
  <c r="J10" i="5"/>
  <c r="B10" i="5"/>
  <c r="E10" i="5"/>
  <c r="N10"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300A22-137C-4FD8-9F4E-F3B6A278306B}"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2" xr16:uid="{16EBF05C-4DAF-4423-A93E-C052D45941AA}" keepAlive="1" name="Query - SalesData (2)" description="Connection to the 'SalesData (2)' query in the workbook." type="5" refreshedVersion="0" background="1">
    <dbPr connection="Provider=Microsoft.Mashup.OleDb.1;Data Source=$Workbook$;Location=&quot;SalesData (2)&quot;;Extended Properties=&quot;&quot;" command="SELECT * FROM [SalesData (2)]"/>
  </connection>
</connections>
</file>

<file path=xl/sharedStrings.xml><?xml version="1.0" encoding="utf-8"?>
<sst xmlns="http://schemas.openxmlformats.org/spreadsheetml/2006/main" count="5727" uniqueCount="120">
  <si>
    <t>May</t>
  </si>
  <si>
    <t>Mandarin</t>
  </si>
  <si>
    <t>North America</t>
  </si>
  <si>
    <t>USA</t>
  </si>
  <si>
    <t>April</t>
  </si>
  <si>
    <t>Vermont</t>
  </si>
  <si>
    <t>Asia</t>
  </si>
  <si>
    <t>Japan</t>
  </si>
  <si>
    <t>February</t>
  </si>
  <si>
    <t>Royal Oak</t>
  </si>
  <si>
    <t>South America</t>
  </si>
  <si>
    <t>Brazil</t>
  </si>
  <si>
    <t>October</t>
  </si>
  <si>
    <t>Luxe</t>
  </si>
  <si>
    <t>March</t>
  </si>
  <si>
    <t>Europe</t>
  </si>
  <si>
    <t>UK</t>
  </si>
  <si>
    <t>December</t>
  </si>
  <si>
    <t>November</t>
  </si>
  <si>
    <t>India</t>
  </si>
  <si>
    <t>July</t>
  </si>
  <si>
    <t>Burlington</t>
  </si>
  <si>
    <t>September</t>
  </si>
  <si>
    <t>August</t>
  </si>
  <si>
    <t>Kensington</t>
  </si>
  <si>
    <t>January</t>
  </si>
  <si>
    <t>June</t>
  </si>
  <si>
    <t>Year</t>
  </si>
  <si>
    <t>Month Name</t>
  </si>
  <si>
    <t>Date</t>
  </si>
  <si>
    <t>Profit</t>
  </si>
  <si>
    <t>COGS</t>
  </si>
  <si>
    <t>Gross Sales</t>
  </si>
  <si>
    <t>Unit Price</t>
  </si>
  <si>
    <t>Units Sold</t>
  </si>
  <si>
    <t>Product</t>
  </si>
  <si>
    <t>Region</t>
  </si>
  <si>
    <t>Country</t>
  </si>
  <si>
    <t>Row Labels</t>
  </si>
  <si>
    <t>Grand Total</t>
  </si>
  <si>
    <t>Column Labels</t>
  </si>
  <si>
    <t>Sum of Units Sold</t>
  </si>
  <si>
    <t>SALES PERFORMANCE DASHBOARD</t>
  </si>
  <si>
    <t>Sum of Gross Sales</t>
  </si>
  <si>
    <t>Sum of COGS</t>
  </si>
  <si>
    <t>Sum of Profit</t>
  </si>
  <si>
    <t>GROSS SALES</t>
  </si>
  <si>
    <t>PROFIT</t>
  </si>
  <si>
    <t>UNITS SOLD</t>
  </si>
  <si>
    <t>PROFIT MARGIN</t>
  </si>
  <si>
    <t>Product Category</t>
  </si>
  <si>
    <t>COOKIE INDUSTRIES — SALES &amp; PROFITABILITY INTERACTIVE DASHBOARD</t>
  </si>
  <si>
    <t>EXCEL-BASED FINANCIAL &amp; BUSINESS ANALYSIS</t>
  </si>
  <si>
    <t>PROJECT PROFILE</t>
  </si>
  <si>
    <t>PROJECT SCOPE &amp; DELIVERABLE</t>
  </si>
  <si>
    <t>Prepared By</t>
  </si>
  <si>
    <t>Ayush Nitin Jagtap</t>
  </si>
  <si>
    <t>Professional Focus</t>
  </si>
  <si>
    <t>Accounting | Finance &amp; Business Analysis | Financial Modelling | AI-Integrated Finance</t>
  </si>
  <si>
    <t>Project Type</t>
  </si>
  <si>
    <t>Independent Portfolio Project — Interactive Excel Dashboard</t>
  </si>
  <si>
    <t>Project</t>
  </si>
  <si>
    <t>Cookie Industries — Sales &amp; Profitability Analysis</t>
  </si>
  <si>
    <t>Dataset</t>
  </si>
  <si>
    <t>700 transaction records | Product, geography, sales, cost &amp; profit data</t>
  </si>
  <si>
    <t>Core Currency</t>
  </si>
  <si>
    <t>₹ / INR presentation</t>
  </si>
  <si>
    <t>Data Workflow</t>
  </si>
  <si>
    <t>Raw data → Cleaned data → calculations → PivotTables → dashboard</t>
  </si>
  <si>
    <t>PROJECT OBJECTIVE</t>
  </si>
  <si>
    <t>To transform a structured Cookie Industries sales dataset into an interactive Excel-based analytical dashboard, using financial and business metrics to evaluate sales performance, profitability, product contribution and geographic trends through professional formulas, PivotTables, charts and slicers.</t>
  </si>
  <si>
    <t>EXCEL &amp; ANALYTICS TECHNIQUES</t>
  </si>
  <si>
    <t>BUSINESS / FINANCIAL ANALYTICAL FRAMEWORK</t>
  </si>
  <si>
    <t>☑ Raw dataset</t>
  </si>
  <si>
    <t>☑ Cleaned data</t>
  </si>
  <si>
    <t>☑ Formulas</t>
  </si>
  <si>
    <t>☑ SUMIFS</t>
  </si>
  <si>
    <t>☑ PivotTables</t>
  </si>
  <si>
    <t>☑ Charts</t>
  </si>
  <si>
    <t>☑ Slicers</t>
  </si>
  <si>
    <t>☑ Power Query</t>
  </si>
  <si>
    <t>☑ What-if analysis</t>
  </si>
  <si>
    <t>☑ KPI dashboard</t>
  </si>
  <si>
    <t>☑ Professional formatting</t>
  </si>
  <si>
    <t>PROJECT METHODOLOGY</t>
  </si>
  <si>
    <t>#</t>
  </si>
  <si>
    <t>STAGE</t>
  </si>
  <si>
    <t>DESCRIPTION</t>
  </si>
  <si>
    <t>1</t>
  </si>
  <si>
    <t>Raw Dataset</t>
  </si>
  <si>
    <t>Review transaction-level Cookie Industries sales, cost, product and geographic fields.</t>
  </si>
  <si>
    <t>2</t>
  </si>
  <si>
    <t>Data Preparation</t>
  </si>
  <si>
    <t>Clean and structure the dataset for reliable analysis and dashboard use.</t>
  </si>
  <si>
    <t>3</t>
  </si>
  <si>
    <t>Formula Analysis</t>
  </si>
  <si>
    <t>Apply Excel formulas including SUMIFS and supporting calculations for sales, cost and profit.</t>
  </si>
  <si>
    <t>4</t>
  </si>
  <si>
    <t>Pivot Analysis</t>
  </si>
  <si>
    <t>Use PivotTables to summarize performance by time, product, region and country.</t>
  </si>
  <si>
    <t>5</t>
  </si>
  <si>
    <t>Interactive Dashboard</t>
  </si>
  <si>
    <t>Connect charts, KPIs and slicers to enable dynamic business analysis.</t>
  </si>
  <si>
    <t>6</t>
  </si>
  <si>
    <t>What-if Analysis</t>
  </si>
  <si>
    <t>Use scenario-oriented Excel analysis to support decision-making and analytical thinking.</t>
  </si>
  <si>
    <t>7</t>
  </si>
  <si>
    <t>Professional Presentation</t>
  </si>
  <si>
    <t>Apply structured formatting, hierarchy and executive-style dashboard presentation.</t>
  </si>
  <si>
    <t>PROJECT DELIVERABLES</t>
  </si>
  <si>
    <t>PORTFOLIO &amp; COMPLETION NOTE</t>
  </si>
  <si>
    <t>✓ Clean transaction-level dataset</t>
  </si>
  <si>
    <t>✓ Formula-driven sales &amp; profitability analysis</t>
  </si>
  <si>
    <t>✓ PivotTable-based summaries</t>
  </si>
  <si>
    <t>✓ Interactive slicer-driven dashboard</t>
  </si>
  <si>
    <t>✓ KPI cards and financial/business charts</t>
  </si>
  <si>
    <t>✓ Professional Excel formatting and presentation</t>
  </si>
  <si>
    <t xml:space="preserve">PROJECT OVERVIEW • COOKIE INDUSTRIES | SALES &amp; PROFITABILITY INTERACTIVE DASHBOARD </t>
  </si>
  <si>
    <t>• AI ENABLE • INTERACTIVE EXCEL PROJECT</t>
  </si>
  <si>
    <t xml:space="preserve">       AI ENABLE WORKFLOW                     INTERACTIVE EXCEL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</si>
</sst>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_(* #,##0_);_(* \(#,##0\);_(* &quot;-&quot;??_);_(@_)"/>
    <numFmt numFmtId="166" formatCode="&quot;₹&quot;\ #,##0"/>
  </numFmts>
  <fonts count="21" x14ac:knownFonts="1">
    <font>
      <sz val="11"/>
      <color theme="1"/>
      <name val="Arial"/>
      <family val="2"/>
    </font>
    <font>
      <b/>
      <sz val="11"/>
      <color theme="1"/>
      <name val="Aptos Narrow"/>
      <family val="2"/>
      <scheme val="minor"/>
    </font>
    <font>
      <sz val="11"/>
      <color theme="1"/>
      <name val="Arial"/>
      <family val="2"/>
    </font>
    <font>
      <sz val="11"/>
      <color theme="1"/>
      <name val="Aptos"/>
      <family val="2"/>
    </font>
    <font>
      <b/>
      <sz val="11"/>
      <color theme="0"/>
      <name val="Aptos"/>
      <family val="2"/>
    </font>
    <font>
      <b/>
      <sz val="11"/>
      <color theme="1"/>
      <name val="Arial"/>
      <family val="2"/>
    </font>
    <font>
      <b/>
      <sz val="12"/>
      <color theme="1"/>
      <name val="Aptos Narrow"/>
      <family val="2"/>
      <scheme val="minor"/>
    </font>
    <font>
      <b/>
      <sz val="12"/>
      <color theme="1"/>
      <name val="Arial"/>
      <family val="2"/>
    </font>
    <font>
      <b/>
      <sz val="16"/>
      <color rgb="FFFFFFFF"/>
      <name val="Aptos Display"/>
    </font>
    <font>
      <b/>
      <i/>
      <sz val="11"/>
      <color rgb="FFFFFFFF"/>
      <name val="Aptos"/>
    </font>
    <font>
      <b/>
      <sz val="9"/>
      <color rgb="FFFFFFFF"/>
      <name val="Aptos"/>
    </font>
    <font>
      <b/>
      <sz val="9"/>
      <color rgb="FF274E13"/>
      <name val="Aptos"/>
    </font>
    <font>
      <sz val="9"/>
      <color rgb="FF222222"/>
      <name val="Aptos"/>
    </font>
    <font>
      <i/>
      <sz val="9"/>
      <color rgb="FF38761D"/>
      <name val="Aptos"/>
    </font>
    <font>
      <b/>
      <sz val="10"/>
      <color rgb="FFFFFFFF"/>
      <name val="Aptos"/>
    </font>
    <font>
      <sz val="10"/>
      <color rgb="FF222222"/>
      <name val="Aptos"/>
      <family val="2"/>
    </font>
    <font>
      <sz val="10"/>
      <color theme="1"/>
      <name val="Arial"/>
      <family val="2"/>
    </font>
    <font>
      <b/>
      <sz val="9"/>
      <color rgb="FF38761D"/>
      <name val="Aptos"/>
      <family val="2"/>
    </font>
    <font>
      <b/>
      <sz val="14"/>
      <name val="Georgia Pro"/>
      <family val="1"/>
    </font>
    <font>
      <b/>
      <sz val="12"/>
      <name val="Georgia Pro"/>
      <family val="1"/>
    </font>
    <font>
      <b/>
      <sz val="26"/>
      <color theme="0"/>
      <name val="Aharoni"/>
    </font>
  </fonts>
  <fills count="12">
    <fill>
      <patternFill patternType="none"/>
    </fill>
    <fill>
      <patternFill patternType="gray125"/>
    </fill>
    <fill>
      <patternFill patternType="solid">
        <fgColor theme="4" tint="-0.249977111117893"/>
        <bgColor theme="9"/>
      </patternFill>
    </fill>
    <fill>
      <patternFill patternType="solid">
        <fgColor theme="6"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rgb="FF38761D"/>
        <bgColor rgb="FF38761D"/>
      </patternFill>
    </fill>
    <fill>
      <patternFill patternType="solid">
        <fgColor rgb="FFD9EAD3"/>
        <bgColor rgb="FFD9EAD3"/>
      </patternFill>
    </fill>
    <fill>
      <patternFill patternType="solid">
        <fgColor rgb="FFFFFFFF"/>
        <bgColor rgb="FFFFFFFF"/>
      </patternFill>
    </fill>
    <fill>
      <patternFill patternType="solid">
        <fgColor rgb="FFE2F0D9"/>
        <bgColor rgb="FFE2F0D9"/>
      </patternFill>
    </fill>
    <fill>
      <patternFill patternType="solid">
        <fgColor theme="9" tint="0.39997558519241921"/>
        <bgColor indexed="64"/>
      </patternFill>
    </fill>
  </fills>
  <borders count="17">
    <border>
      <left/>
      <right/>
      <top/>
      <bottom/>
      <diagonal/>
    </border>
    <border>
      <left style="thin">
        <color theme="2" tint="-0.749961851863155"/>
      </left>
      <right/>
      <top style="thin">
        <color theme="2" tint="-0.749961851863155"/>
      </top>
      <bottom/>
      <diagonal/>
    </border>
    <border>
      <left style="thin">
        <color theme="2" tint="-0.749961851863155"/>
      </left>
      <right style="thin">
        <color theme="2" tint="-0.749961851863155"/>
      </right>
      <top style="thin">
        <color theme="2" tint="-0.749961851863155"/>
      </top>
      <bottom/>
      <diagonal/>
    </border>
    <border>
      <left/>
      <right style="thin">
        <color theme="2" tint="-0.749961851863155"/>
      </right>
      <top style="thin">
        <color theme="2" tint="-0.749961851863155"/>
      </top>
      <bottom/>
      <diagonal/>
    </border>
    <border>
      <left style="thin">
        <color theme="2" tint="-0.749961851863155"/>
      </left>
      <right/>
      <top style="thin">
        <color theme="2" tint="-0.749961851863155"/>
      </top>
      <bottom style="thin">
        <color theme="2" tint="-0.749961851863155"/>
      </bottom>
      <diagonal/>
    </border>
    <border>
      <left style="thin">
        <color theme="2" tint="-0.749961851863155"/>
      </left>
      <right style="thin">
        <color theme="2" tint="-0.749961851863155"/>
      </right>
      <top style="thin">
        <color theme="2" tint="-0.749961851863155"/>
      </top>
      <bottom style="thin">
        <color theme="2" tint="-0.749961851863155"/>
      </bottom>
      <diagonal/>
    </border>
    <border>
      <left/>
      <right style="thin">
        <color theme="2" tint="-0.749961851863155"/>
      </right>
      <top style="thin">
        <color theme="2" tint="-0.749961851863155"/>
      </top>
      <bottom style="thin">
        <color theme="2" tint="-0.749961851863155"/>
      </bottom>
      <diagonal/>
    </border>
    <border>
      <left style="thin">
        <color theme="2" tint="-0.749961851863155"/>
      </left>
      <right/>
      <top/>
      <bottom style="thin">
        <color theme="2" tint="-0.749961851863155"/>
      </bottom>
      <diagonal/>
    </border>
    <border>
      <left style="thin">
        <color theme="2" tint="-0.749961851863155"/>
      </left>
      <right style="thin">
        <color theme="2" tint="-0.749961851863155"/>
      </right>
      <top/>
      <bottom style="thin">
        <color theme="2" tint="-0.749961851863155"/>
      </bottom>
      <diagonal/>
    </border>
    <border>
      <left/>
      <right style="thin">
        <color theme="2" tint="-0.749961851863155"/>
      </right>
      <top/>
      <bottom style="thin">
        <color theme="2" tint="-0.749961851863155"/>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7C9B0"/>
      </left>
      <right style="thin">
        <color rgb="FFB7C9B0"/>
      </right>
      <top style="thin">
        <color rgb="FFB7C9B0"/>
      </top>
      <bottom style="thin">
        <color rgb="FFB7C9B0"/>
      </bottom>
      <diagonal/>
    </border>
    <border>
      <left style="thin">
        <color rgb="FF38761D"/>
      </left>
      <right style="thin">
        <color rgb="FF38761D"/>
      </right>
      <top style="thin">
        <color rgb="FF38761D"/>
      </top>
      <bottom style="thin">
        <color rgb="FF38761D"/>
      </bottom>
      <diagonal/>
    </border>
    <border>
      <left style="thin">
        <color rgb="FFFFFFFF"/>
      </left>
      <right style="thin">
        <color rgb="FFFFFFFF"/>
      </right>
      <top style="thin">
        <color rgb="FFFFFFFF"/>
      </top>
      <bottom style="thin">
        <color rgb="FFFFFFFF"/>
      </bottom>
      <diagonal/>
    </border>
    <border>
      <left style="thin">
        <color rgb="FFA9C89F"/>
      </left>
      <right style="thin">
        <color rgb="FFA9C89F"/>
      </right>
      <top style="thin">
        <color rgb="FFA9C89F"/>
      </top>
      <bottom style="thin">
        <color rgb="FFA9C89F"/>
      </bottom>
      <diagonal/>
    </border>
  </borders>
  <cellStyleXfs count="2">
    <xf numFmtId="0" fontId="0" fillId="0" borderId="0"/>
    <xf numFmtId="164" fontId="2" fillId="0" borderId="0" applyFont="0" applyFill="0" applyBorder="0" applyAlignment="0" applyProtection="0"/>
  </cellStyleXfs>
  <cellXfs count="52">
    <xf numFmtId="0" fontId="0" fillId="0" borderId="0" xfId="0"/>
    <xf numFmtId="0" fontId="3" fillId="0" borderId="0" xfId="0" applyFont="1"/>
    <xf numFmtId="164" fontId="3" fillId="0" borderId="0" xfId="1" applyFont="1"/>
    <xf numFmtId="0" fontId="3" fillId="0" borderId="1" xfId="0" applyFont="1" applyBorder="1"/>
    <xf numFmtId="0" fontId="3" fillId="0" borderId="2" xfId="0" applyFont="1" applyBorder="1"/>
    <xf numFmtId="14" fontId="3" fillId="0" borderId="2" xfId="0" applyNumberFormat="1" applyFont="1" applyBorder="1"/>
    <xf numFmtId="165" fontId="3" fillId="0" borderId="2" xfId="1" applyNumberFormat="1" applyFont="1" applyBorder="1"/>
    <xf numFmtId="164" fontId="3" fillId="0" borderId="2" xfId="1" applyFont="1" applyBorder="1"/>
    <xf numFmtId="0" fontId="3" fillId="0" borderId="3" xfId="0" applyFont="1" applyBorder="1"/>
    <xf numFmtId="0" fontId="3" fillId="0" borderId="4" xfId="0" applyFont="1" applyBorder="1"/>
    <xf numFmtId="0" fontId="3" fillId="0" borderId="5" xfId="0" applyFont="1" applyBorder="1"/>
    <xf numFmtId="14" fontId="3" fillId="0" borderId="5" xfId="0" applyNumberFormat="1" applyFont="1" applyBorder="1"/>
    <xf numFmtId="165" fontId="3" fillId="0" borderId="5" xfId="1" applyNumberFormat="1" applyFont="1" applyBorder="1"/>
    <xf numFmtId="164" fontId="3" fillId="0" borderId="5" xfId="1" applyFont="1" applyBorder="1"/>
    <xf numFmtId="0" fontId="3" fillId="0" borderId="6" xfId="0" applyFont="1" applyBorder="1"/>
    <xf numFmtId="0" fontId="4" fillId="2" borderId="7" xfId="0" applyFont="1" applyFill="1" applyBorder="1"/>
    <xf numFmtId="0" fontId="4" fillId="2" borderId="8" xfId="0" applyFont="1" applyFill="1" applyBorder="1"/>
    <xf numFmtId="49" fontId="4" fillId="2" borderId="8" xfId="1" applyNumberFormat="1" applyFont="1" applyFill="1" applyBorder="1"/>
    <xf numFmtId="0" fontId="4" fillId="2" borderId="9" xfId="0" applyFont="1" applyFill="1" applyBorder="1"/>
    <xf numFmtId="22" fontId="0" fillId="0" borderId="0" xfId="0" applyNumberFormat="1"/>
    <xf numFmtId="0" fontId="0" fillId="0" borderId="0" xfId="0" pivotButton="1"/>
    <xf numFmtId="0" fontId="0" fillId="0" borderId="0" xfId="0"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0" fontId="6" fillId="3" borderId="11" xfId="0" applyFont="1" applyFill="1" applyBorder="1" applyAlignment="1">
      <alignment horizontal="center"/>
    </xf>
    <xf numFmtId="0" fontId="6" fillId="5" borderId="11" xfId="0" applyFont="1" applyFill="1" applyBorder="1" applyAlignment="1">
      <alignment horizontal="center"/>
    </xf>
    <xf numFmtId="166" fontId="7" fillId="4" borderId="12" xfId="0" applyNumberFormat="1" applyFont="1" applyFill="1" applyBorder="1" applyAlignment="1">
      <alignment horizontal="center"/>
    </xf>
    <xf numFmtId="0" fontId="5" fillId="5" borderId="11" xfId="0" applyFont="1" applyFill="1" applyBorder="1" applyAlignment="1">
      <alignment horizontal="center"/>
    </xf>
    <xf numFmtId="0" fontId="1" fillId="5" borderId="11" xfId="0" applyFont="1" applyFill="1" applyBorder="1" applyAlignment="1">
      <alignment horizontal="center"/>
    </xf>
    <xf numFmtId="10" fontId="5" fillId="4" borderId="12" xfId="0" applyNumberFormat="1" applyFont="1" applyFill="1" applyBorder="1" applyAlignment="1">
      <alignment horizontal="center"/>
    </xf>
    <xf numFmtId="0" fontId="0" fillId="6" borderId="0" xfId="0" applyFill="1"/>
    <xf numFmtId="0" fontId="11" fillId="9" borderId="13" xfId="0" applyFont="1" applyFill="1" applyBorder="1" applyAlignment="1">
      <alignment horizontal="left" vertical="center"/>
    </xf>
    <xf numFmtId="0" fontId="14" fillId="7" borderId="15" xfId="0" applyFont="1" applyFill="1" applyBorder="1" applyAlignment="1">
      <alignment horizontal="center" vertical="center"/>
    </xf>
    <xf numFmtId="0" fontId="11" fillId="8" borderId="13" xfId="0" applyFont="1" applyFill="1" applyBorder="1" applyAlignment="1">
      <alignment horizontal="left" vertical="center" wrapText="1"/>
    </xf>
    <xf numFmtId="0" fontId="12" fillId="10" borderId="13" xfId="0" applyFont="1" applyFill="1" applyBorder="1" applyAlignment="1">
      <alignment horizontal="left" vertical="center" wrapText="1"/>
    </xf>
    <xf numFmtId="0" fontId="16" fillId="0" borderId="0" xfId="0" applyFont="1"/>
    <xf numFmtId="0" fontId="0" fillId="0" borderId="0" xfId="0" applyAlignment="1">
      <alignment vertical="center"/>
    </xf>
    <xf numFmtId="0" fontId="18" fillId="0" borderId="0" xfId="0" applyFont="1" applyAlignment="1">
      <alignment horizontal="center" vertical="center"/>
    </xf>
    <xf numFmtId="0" fontId="12" fillId="9" borderId="13" xfId="0" applyFont="1" applyFill="1" applyBorder="1" applyAlignment="1">
      <alignment horizontal="left" vertical="center" wrapText="1"/>
    </xf>
    <xf numFmtId="0" fontId="8" fillId="7" borderId="15" xfId="0" applyFont="1" applyFill="1" applyBorder="1" applyAlignment="1">
      <alignment horizontal="center" vertical="center"/>
    </xf>
    <xf numFmtId="0" fontId="9" fillId="7" borderId="15" xfId="0" applyFont="1" applyFill="1" applyBorder="1" applyAlignment="1">
      <alignment horizontal="center" vertical="center"/>
    </xf>
    <xf numFmtId="0" fontId="17" fillId="8" borderId="15" xfId="0" applyFont="1" applyFill="1" applyBorder="1" applyAlignment="1">
      <alignment horizontal="center" vertical="center"/>
    </xf>
    <xf numFmtId="0" fontId="10" fillId="7" borderId="14" xfId="0" applyFont="1" applyFill="1" applyBorder="1" applyAlignment="1">
      <alignment horizontal="left" vertical="center"/>
    </xf>
    <xf numFmtId="0" fontId="0" fillId="0" borderId="0" xfId="0"/>
    <xf numFmtId="0" fontId="12" fillId="9" borderId="15" xfId="0" applyFont="1" applyFill="1" applyBorder="1" applyAlignment="1">
      <alignment horizontal="left" vertical="center" wrapText="1"/>
    </xf>
    <xf numFmtId="0" fontId="15" fillId="9" borderId="13" xfId="0" applyFont="1" applyFill="1" applyBorder="1" applyAlignment="1">
      <alignment horizontal="left" vertical="center" wrapText="1"/>
    </xf>
    <xf numFmtId="0" fontId="16" fillId="0" borderId="0" xfId="0" applyFont="1"/>
    <xf numFmtId="0" fontId="14" fillId="7" borderId="15" xfId="0" applyFont="1" applyFill="1" applyBorder="1" applyAlignment="1">
      <alignment horizontal="center" vertical="center"/>
    </xf>
    <xf numFmtId="0" fontId="13" fillId="8" borderId="16" xfId="0" applyFont="1" applyFill="1" applyBorder="1" applyAlignment="1">
      <alignment horizontal="center" vertical="center" wrapText="1"/>
    </xf>
    <xf numFmtId="0" fontId="20" fillId="6" borderId="0" xfId="0" applyFont="1" applyFill="1" applyAlignment="1">
      <alignment horizontal="center" vertical="center"/>
    </xf>
    <xf numFmtId="0" fontId="19" fillId="11" borderId="0" xfId="0" applyFont="1" applyFill="1" applyAlignment="1">
      <alignment horizontal="center" vertical="center"/>
    </xf>
  </cellXfs>
  <cellStyles count="2">
    <cellStyle name="Comma" xfId="1" builtinId="3"/>
    <cellStyle name="Normal" xfId="0" builtinId="0"/>
  </cellStyles>
  <dxfs count="20">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border diagonalUp="0" diagonalDown="0">
        <left style="thin">
          <color theme="2" tint="-0.749961851863155"/>
        </left>
        <right/>
        <top style="thin">
          <color theme="2" tint="-0.749961851863155"/>
        </top>
        <bottom style="thin">
          <color theme="2" tint="-0.749961851863155"/>
        </bottom>
        <vertical/>
        <horizontal/>
      </border>
    </dxf>
    <dxf>
      <font>
        <b val="0"/>
        <i val="0"/>
        <strike val="0"/>
        <condense val="0"/>
        <extend val="0"/>
        <outline val="0"/>
        <shadow val="0"/>
        <u val="none"/>
        <vertAlign val="baseline"/>
        <sz val="11"/>
        <color theme="1"/>
        <name val="Aptos"/>
        <family val="2"/>
        <scheme val="none"/>
      </font>
      <border diagonalUp="0" diagonalDown="0">
        <left style="thin">
          <color theme="2" tint="-0.749961851863155"/>
        </left>
        <right style="thin">
          <color theme="2" tint="-0.749961851863155"/>
        </right>
        <top style="thin">
          <color theme="2" tint="-0.749961851863155"/>
        </top>
        <bottom style="thin">
          <color theme="2" tint="-0.749961851863155"/>
        </bottom>
        <vertical/>
        <horizontal/>
      </border>
    </dxf>
    <dxf>
      <font>
        <b val="0"/>
        <i val="0"/>
        <strike val="0"/>
        <condense val="0"/>
        <extend val="0"/>
        <outline val="0"/>
        <shadow val="0"/>
        <u val="none"/>
        <vertAlign val="baseline"/>
        <sz val="11"/>
        <color theme="1"/>
        <name val="Aptos"/>
        <family val="2"/>
        <scheme val="none"/>
      </font>
      <numFmt numFmtId="167" formatCode="m/d/yyyy"/>
      <border diagonalUp="0" diagonalDown="0">
        <left style="thin">
          <color theme="2" tint="-0.749961851863155"/>
        </left>
        <right style="thin">
          <color theme="2" tint="-0.749961851863155"/>
        </right>
        <top style="thin">
          <color theme="2" tint="-0.749961851863155"/>
        </top>
        <bottom style="thin">
          <color theme="2" tint="-0.749961851863155"/>
        </bottom>
        <vertical/>
        <horizontal/>
      </border>
    </dxf>
    <dxf>
      <font>
        <b val="0"/>
        <i val="0"/>
        <strike val="0"/>
        <condense val="0"/>
        <extend val="0"/>
        <outline val="0"/>
        <shadow val="0"/>
        <u val="none"/>
        <vertAlign val="baseline"/>
        <sz val="11"/>
        <color theme="1"/>
        <name val="Aptos"/>
        <family val="2"/>
        <scheme val="none"/>
      </font>
      <numFmt numFmtId="165" formatCode="_(* #,##0_);_(* \(#,##0\);_(* &quot;-&quot;??_);_(@_)"/>
      <border diagonalUp="0" diagonalDown="0">
        <left style="thin">
          <color theme="2" tint="-0.749961851863155"/>
        </left>
        <right style="thin">
          <color theme="2" tint="-0.749961851863155"/>
        </right>
        <top style="thin">
          <color theme="2" tint="-0.749961851863155"/>
        </top>
        <bottom style="thin">
          <color theme="2" tint="-0.749961851863155"/>
        </bottom>
        <vertical/>
        <horizontal/>
      </border>
    </dxf>
    <dxf>
      <font>
        <b val="0"/>
        <i val="0"/>
        <strike val="0"/>
        <condense val="0"/>
        <extend val="0"/>
        <outline val="0"/>
        <shadow val="0"/>
        <u val="none"/>
        <vertAlign val="baseline"/>
        <sz val="11"/>
        <color theme="1"/>
        <name val="Aptos"/>
        <family val="2"/>
        <scheme val="none"/>
      </font>
      <numFmt numFmtId="165" formatCode="_(* #,##0_);_(* \(#,##0\);_(* &quot;-&quot;??_);_(@_)"/>
      <border diagonalUp="0" diagonalDown="0">
        <left style="thin">
          <color theme="2" tint="-0.749961851863155"/>
        </left>
        <right style="thin">
          <color theme="2" tint="-0.749961851863155"/>
        </right>
        <top style="thin">
          <color theme="2" tint="-0.749961851863155"/>
        </top>
        <bottom style="thin">
          <color theme="2" tint="-0.749961851863155"/>
        </bottom>
        <vertical/>
        <horizontal/>
      </border>
    </dxf>
    <dxf>
      <font>
        <b val="0"/>
        <i val="0"/>
        <strike val="0"/>
        <condense val="0"/>
        <extend val="0"/>
        <outline val="0"/>
        <shadow val="0"/>
        <u val="none"/>
        <vertAlign val="baseline"/>
        <sz val="11"/>
        <color theme="1"/>
        <name val="Aptos"/>
        <family val="2"/>
        <scheme val="none"/>
      </font>
      <numFmt numFmtId="165" formatCode="_(* #,##0_);_(* \(#,##0\);_(* &quot;-&quot;??_);_(@_)"/>
      <border diagonalUp="0" diagonalDown="0">
        <left style="thin">
          <color theme="2" tint="-0.749961851863155"/>
        </left>
        <right style="thin">
          <color theme="2" tint="-0.749961851863155"/>
        </right>
        <top style="thin">
          <color theme="2" tint="-0.749961851863155"/>
        </top>
        <bottom style="thin">
          <color theme="2" tint="-0.749961851863155"/>
        </bottom>
        <vertical/>
        <horizontal/>
      </border>
    </dxf>
    <dxf>
      <font>
        <b val="0"/>
        <i val="0"/>
        <strike val="0"/>
        <condense val="0"/>
        <extend val="0"/>
        <outline val="0"/>
        <shadow val="0"/>
        <u val="none"/>
        <vertAlign val="baseline"/>
        <sz val="11"/>
        <color theme="1"/>
        <name val="Aptos"/>
        <family val="2"/>
        <scheme val="none"/>
      </font>
      <border diagonalUp="0" diagonalDown="0">
        <left style="thin">
          <color theme="2" tint="-0.749961851863155"/>
        </left>
        <right style="thin">
          <color theme="2" tint="-0.749961851863155"/>
        </right>
        <top style="thin">
          <color theme="2" tint="-0.749961851863155"/>
        </top>
        <bottom style="thin">
          <color theme="2" tint="-0.749961851863155"/>
        </bottom>
        <vertical/>
        <horizontal/>
      </border>
    </dxf>
    <dxf>
      <font>
        <b val="0"/>
        <i val="0"/>
        <strike val="0"/>
        <condense val="0"/>
        <extend val="0"/>
        <outline val="0"/>
        <shadow val="0"/>
        <u val="none"/>
        <vertAlign val="baseline"/>
        <sz val="11"/>
        <color theme="1"/>
        <name val="Aptos"/>
        <family val="2"/>
        <scheme val="none"/>
      </font>
      <numFmt numFmtId="165" formatCode="_(* #,##0_);_(* \(#,##0\);_(* &quot;-&quot;??_);_(@_)"/>
      <border diagonalUp="0" diagonalDown="0">
        <left style="thin">
          <color theme="2" tint="-0.749961851863155"/>
        </left>
        <right style="thin">
          <color theme="2" tint="-0.749961851863155"/>
        </right>
        <top style="thin">
          <color theme="2" tint="-0.749961851863155"/>
        </top>
        <bottom style="thin">
          <color theme="2" tint="-0.749961851863155"/>
        </bottom>
        <vertical/>
        <horizontal/>
      </border>
    </dxf>
    <dxf>
      <font>
        <b val="0"/>
        <i val="0"/>
        <strike val="0"/>
        <condense val="0"/>
        <extend val="0"/>
        <outline val="0"/>
        <shadow val="0"/>
        <u val="none"/>
        <vertAlign val="baseline"/>
        <sz val="11"/>
        <color theme="1"/>
        <name val="Aptos"/>
        <family val="2"/>
        <scheme val="none"/>
      </font>
      <border diagonalUp="0" diagonalDown="0">
        <left style="thin">
          <color theme="2" tint="-0.749961851863155"/>
        </left>
        <right style="thin">
          <color theme="2" tint="-0.749961851863155"/>
        </right>
        <top style="thin">
          <color theme="2" tint="-0.749961851863155"/>
        </top>
        <bottom style="thin">
          <color theme="2" tint="-0.749961851863155"/>
        </bottom>
        <vertical/>
        <horizontal/>
      </border>
    </dxf>
    <dxf>
      <font>
        <b val="0"/>
        <i val="0"/>
        <strike val="0"/>
        <condense val="0"/>
        <extend val="0"/>
        <outline val="0"/>
        <shadow val="0"/>
        <u val="none"/>
        <vertAlign val="baseline"/>
        <sz val="11"/>
        <color theme="1"/>
        <name val="Aptos"/>
        <family val="2"/>
        <scheme val="none"/>
      </font>
      <border diagonalUp="0" diagonalDown="0">
        <left style="thin">
          <color theme="2" tint="-0.749961851863155"/>
        </left>
        <right style="thin">
          <color theme="2" tint="-0.749961851863155"/>
        </right>
        <top style="thin">
          <color theme="2" tint="-0.749961851863155"/>
        </top>
        <bottom style="thin">
          <color theme="2" tint="-0.749961851863155"/>
        </bottom>
        <vertical/>
        <horizontal/>
      </border>
    </dxf>
    <dxf>
      <font>
        <b val="0"/>
        <i val="0"/>
        <strike val="0"/>
        <condense val="0"/>
        <extend val="0"/>
        <outline val="0"/>
        <shadow val="0"/>
        <u val="none"/>
        <vertAlign val="baseline"/>
        <sz val="11"/>
        <color theme="1"/>
        <name val="Aptos"/>
        <family val="2"/>
        <scheme val="none"/>
      </font>
      <border diagonalUp="0" diagonalDown="0">
        <left/>
        <right style="thin">
          <color theme="2" tint="-0.749961851863155"/>
        </right>
        <top style="thin">
          <color theme="2" tint="-0.749961851863155"/>
        </top>
        <bottom style="thin">
          <color theme="2" tint="-0.749961851863155"/>
        </bottom>
        <vertical/>
        <horizontal/>
      </border>
    </dxf>
    <dxf>
      <border outline="0">
        <top style="thin">
          <color theme="2" tint="-0.749961851863155"/>
        </top>
      </border>
    </dxf>
    <dxf>
      <border outline="0">
        <left style="thin">
          <color theme="2" tint="-0.749961851863155"/>
        </left>
        <right style="thin">
          <color theme="2" tint="-0.749961851863155"/>
        </right>
        <top style="thin">
          <color theme="2" tint="-0.749961851863155"/>
        </top>
        <bottom style="thin">
          <color theme="2" tint="-0.749961851863155"/>
        </bottom>
      </border>
    </dxf>
    <dxf>
      <border outline="0">
        <bottom style="thin">
          <color theme="2" tint="-0.749961851863155"/>
        </bottom>
      </border>
    </dxf>
    <dxf>
      <font>
        <b/>
        <i val="0"/>
        <strike val="0"/>
        <condense val="0"/>
        <extend val="0"/>
        <outline val="0"/>
        <shadow val="0"/>
        <u val="none"/>
        <vertAlign val="baseline"/>
        <sz val="11"/>
        <color theme="0"/>
        <name val="Aptos"/>
        <family val="2"/>
        <scheme val="none"/>
      </font>
      <fill>
        <patternFill patternType="solid">
          <fgColor theme="9"/>
          <bgColor theme="4" tint="-0.249977111117893"/>
        </patternFill>
      </fill>
      <border diagonalUp="0" diagonalDown="0" outline="0">
        <left style="thin">
          <color theme="2" tint="-0.749961851863155"/>
        </left>
        <right style="thin">
          <color theme="2" tint="-0.749961851863155"/>
        </right>
        <top/>
        <bottom/>
      </border>
    </dxf>
    <dxf>
      <font>
        <b/>
        <color theme="1"/>
      </font>
      <fill>
        <patternFill patternType="none">
          <bgColor auto="1"/>
        </patternFill>
      </fill>
      <border diagonalUp="0" diagonalDown="0">
        <left/>
        <right/>
        <top/>
        <bottom/>
        <vertical/>
        <horizontal/>
      </border>
    </dxf>
    <dxf>
      <font>
        <color theme="1"/>
      </font>
      <border>
        <left style="thin">
          <color theme="6"/>
        </left>
        <right style="thin">
          <color theme="6"/>
        </right>
        <top style="thin">
          <color theme="6"/>
        </top>
        <bottom style="thin">
          <color theme="6"/>
        </bottom>
        <vertical/>
        <horizontal/>
      </border>
    </dxf>
    <dxf>
      <font>
        <b/>
        <color theme="1"/>
      </font>
      <fill>
        <patternFill>
          <bgColor theme="9" tint="-0.499984740745262"/>
        </patternFill>
      </fill>
      <border>
        <bottom style="thin">
          <color theme="6"/>
        </bottom>
        <vertical/>
        <horizontal/>
      </border>
    </dxf>
    <dxf>
      <font>
        <b/>
        <i val="0"/>
        <color theme="1"/>
        <name val="Aptos Narrow"/>
        <family val="2"/>
        <scheme val="minor"/>
      </font>
      <border diagonalUp="0" diagonalDown="0">
        <left/>
        <right/>
        <top/>
        <bottom/>
        <vertical/>
        <horizontal/>
      </border>
    </dxf>
  </dxfs>
  <tableStyles count="2" defaultTableStyle="TableStyleMedium2" defaultPivotStyle="PivotStyleLight16">
    <tableStyle name="My style" pivot="0" table="0" count="10" xr9:uid="{64D00059-CC5E-4C10-BBBE-804CCB9907F7}">
      <tableStyleElement type="wholeTable" dxfId="19"/>
      <tableStyleElement type="headerRow" dxfId="18"/>
    </tableStyle>
    <tableStyle name="SlicerStyleDark3 2" pivot="0" table="0" count="10" xr9:uid="{4B4AE5DA-2BFF-437B-B92D-1B1EFD6585DE}">
      <tableStyleElement type="wholeTable" dxfId="17"/>
      <tableStyleElement type="headerRow" dxfId="1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[Cookie_Industries_Interactive dashboard.xlsx]Pivot_Units!PivotTable2</c:name>
    <c:fmtId val="5"/>
  </c:pivotSource>
  <c:chart>
    <c:title>
      <c:layout>
        <c:manualLayout>
          <c:xMode val="edge"/>
          <c:yMode val="edge"/>
          <c:x val="0.34045475790653235"/>
          <c:y val="1.801258464198087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hade val="50000"/>
            </a:schemeClr>
          </a:solidFill>
          <a:ln>
            <a:noFill/>
          </a:ln>
          <a:effectLst/>
        </c:spPr>
      </c:pivotFmt>
      <c:pivotFmt>
        <c:idx val="4"/>
        <c:spPr>
          <a:solidFill>
            <a:schemeClr val="accent3">
              <a:shade val="70000"/>
            </a:schemeClr>
          </a:solidFill>
          <a:ln>
            <a:noFill/>
          </a:ln>
          <a:effectLst/>
        </c:spPr>
      </c:pivotFmt>
      <c:pivotFmt>
        <c:idx val="5"/>
        <c:spPr>
          <a:solidFill>
            <a:schemeClr val="accent3">
              <a:shade val="90000"/>
            </a:schemeClr>
          </a:solidFill>
          <a:ln>
            <a:noFill/>
          </a:ln>
          <a:effectLst/>
        </c:spPr>
      </c:pivotFmt>
      <c:pivotFmt>
        <c:idx val="6"/>
        <c:spPr>
          <a:solidFill>
            <a:schemeClr val="accent3"/>
          </a:solidFill>
          <a:ln>
            <a:noFill/>
          </a:ln>
          <a:effectLst/>
        </c:spPr>
      </c:pivotFmt>
      <c:pivotFmt>
        <c:idx val="7"/>
        <c:spPr>
          <a:solidFill>
            <a:schemeClr val="accent3">
              <a:tint val="70000"/>
            </a:schemeClr>
          </a:solidFill>
          <a:ln>
            <a:noFill/>
          </a:ln>
          <a:effectLst/>
        </c:spPr>
      </c:pivotFmt>
      <c:pivotFmt>
        <c:idx val="8"/>
        <c:spPr>
          <a:solidFill>
            <a:schemeClr val="accent3"/>
          </a:solidFill>
          <a:ln>
            <a:noFill/>
          </a:ln>
          <a:effectLst/>
        </c:spPr>
      </c:pivotFmt>
    </c:pivotFmts>
    <c:plotArea>
      <c:layout>
        <c:manualLayout>
          <c:layoutTarget val="inner"/>
          <c:xMode val="edge"/>
          <c:yMode val="edge"/>
          <c:x val="0.11756036154062369"/>
          <c:y val="0.10667350472564872"/>
          <c:w val="0.51353484266324367"/>
          <c:h val="0.81803974468992413"/>
        </c:manualLayout>
      </c:layout>
      <c:doughnutChart>
        <c:varyColors val="1"/>
        <c:ser>
          <c:idx val="0"/>
          <c:order val="0"/>
          <c:tx>
            <c:strRef>
              <c:f>Pivot_Units!$B$3</c:f>
              <c:strCache>
                <c:ptCount val="1"/>
                <c:pt idx="0">
                  <c:v>Total</c:v>
                </c:pt>
              </c:strCache>
            </c:strRef>
          </c:tx>
          <c:dPt>
            <c:idx val="0"/>
            <c:bubble3D val="0"/>
            <c:spPr>
              <a:solidFill>
                <a:schemeClr val="accent3">
                  <a:shade val="50000"/>
                </a:schemeClr>
              </a:solidFill>
              <a:ln>
                <a:noFill/>
              </a:ln>
              <a:effectLst/>
            </c:spPr>
            <c:extLst>
              <c:ext xmlns:c16="http://schemas.microsoft.com/office/drawing/2014/chart" uri="{C3380CC4-5D6E-409C-BE32-E72D297353CC}">
                <c16:uniqueId val="{00000001-BB09-41B6-BC54-1549A3F7DAB6}"/>
              </c:ext>
            </c:extLst>
          </c:dPt>
          <c:dPt>
            <c:idx val="1"/>
            <c:bubble3D val="0"/>
            <c:spPr>
              <a:solidFill>
                <a:schemeClr val="accent3">
                  <a:shade val="70000"/>
                </a:schemeClr>
              </a:solidFill>
              <a:ln>
                <a:noFill/>
              </a:ln>
              <a:effectLst/>
            </c:spPr>
            <c:extLst>
              <c:ext xmlns:c16="http://schemas.microsoft.com/office/drawing/2014/chart" uri="{C3380CC4-5D6E-409C-BE32-E72D297353CC}">
                <c16:uniqueId val="{00000003-BB09-41B6-BC54-1549A3F7DAB6}"/>
              </c:ext>
            </c:extLst>
          </c:dPt>
          <c:dPt>
            <c:idx val="2"/>
            <c:bubble3D val="0"/>
            <c:spPr>
              <a:solidFill>
                <a:schemeClr val="accent3">
                  <a:shade val="90000"/>
                </a:schemeClr>
              </a:solidFill>
              <a:ln>
                <a:noFill/>
              </a:ln>
              <a:effectLst/>
            </c:spPr>
            <c:extLst>
              <c:ext xmlns:c16="http://schemas.microsoft.com/office/drawing/2014/chart" uri="{C3380CC4-5D6E-409C-BE32-E72D297353CC}">
                <c16:uniqueId val="{00000005-BB09-41B6-BC54-1549A3F7DAB6}"/>
              </c:ext>
            </c:extLst>
          </c:dPt>
          <c:dPt>
            <c:idx val="3"/>
            <c:bubble3D val="0"/>
            <c:spPr>
              <a:solidFill>
                <a:schemeClr val="accent3">
                  <a:tint val="90000"/>
                </a:schemeClr>
              </a:solidFill>
              <a:ln>
                <a:noFill/>
              </a:ln>
              <a:effectLst/>
            </c:spPr>
            <c:extLst>
              <c:ext xmlns:c16="http://schemas.microsoft.com/office/drawing/2014/chart" uri="{C3380CC4-5D6E-409C-BE32-E72D297353CC}">
                <c16:uniqueId val="{00000007-BB09-41B6-BC54-1549A3F7DAB6}"/>
              </c:ext>
            </c:extLst>
          </c:dPt>
          <c:dPt>
            <c:idx val="4"/>
            <c:bubble3D val="0"/>
            <c:spPr>
              <a:solidFill>
                <a:schemeClr val="accent3">
                  <a:tint val="70000"/>
                </a:schemeClr>
              </a:solidFill>
              <a:ln>
                <a:noFill/>
              </a:ln>
              <a:effectLst/>
            </c:spPr>
            <c:extLst>
              <c:ext xmlns:c16="http://schemas.microsoft.com/office/drawing/2014/chart" uri="{C3380CC4-5D6E-409C-BE32-E72D297353CC}">
                <c16:uniqueId val="{00000009-BB09-41B6-BC54-1549A3F7DAB6}"/>
              </c:ext>
            </c:extLst>
          </c:dPt>
          <c:dPt>
            <c:idx val="5"/>
            <c:bubble3D val="0"/>
            <c:spPr>
              <a:solidFill>
                <a:schemeClr val="accent3">
                  <a:tint val="50000"/>
                </a:schemeClr>
              </a:solidFill>
              <a:ln>
                <a:noFill/>
              </a:ln>
              <a:effectLst/>
            </c:spPr>
            <c:extLst>
              <c:ext xmlns:c16="http://schemas.microsoft.com/office/drawing/2014/chart" uri="{C3380CC4-5D6E-409C-BE32-E72D297353CC}">
                <c16:uniqueId val="{0000000B-BB09-41B6-BC54-1549A3F7DAB6}"/>
              </c:ext>
            </c:extLst>
          </c:dPt>
          <c:cat>
            <c:strRef>
              <c:f>Pivot_Units!$A$4:$A$10</c:f>
              <c:strCache>
                <c:ptCount val="6"/>
                <c:pt idx="0">
                  <c:v>Burlington</c:v>
                </c:pt>
                <c:pt idx="1">
                  <c:v>Kensington</c:v>
                </c:pt>
                <c:pt idx="2">
                  <c:v>Luxe</c:v>
                </c:pt>
                <c:pt idx="3">
                  <c:v>Mandarin</c:v>
                </c:pt>
                <c:pt idx="4">
                  <c:v>Royal Oak</c:v>
                </c:pt>
                <c:pt idx="5">
                  <c:v>Vermont</c:v>
                </c:pt>
              </c:strCache>
            </c:strRef>
          </c:cat>
          <c:val>
            <c:numRef>
              <c:f>Pivot_Units!$B$4:$B$10</c:f>
              <c:numCache>
                <c:formatCode>General</c:formatCode>
                <c:ptCount val="6"/>
                <c:pt idx="0">
                  <c:v>264238</c:v>
                </c:pt>
                <c:pt idx="1">
                  <c:v>204165</c:v>
                </c:pt>
                <c:pt idx="2">
                  <c:v>202791</c:v>
                </c:pt>
                <c:pt idx="3">
                  <c:v>262837</c:v>
                </c:pt>
                <c:pt idx="4">
                  <c:v>225466</c:v>
                </c:pt>
                <c:pt idx="5">
                  <c:v>506598</c:v>
                </c:pt>
              </c:numCache>
            </c:numRef>
          </c:val>
          <c:extLst>
            <c:ext xmlns:c16="http://schemas.microsoft.com/office/drawing/2014/chart" uri="{C3380CC4-5D6E-409C-BE32-E72D297353CC}">
              <c16:uniqueId val="{00000000-0884-492D-B16F-65D8EE82A5A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178371918558671"/>
          <c:y val="0.2690421910156211"/>
          <c:w val="0.14183051565421148"/>
          <c:h val="0.3715362874041613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[Cookie_Industries_Interactive dashboard.xlsx]Pivot_Sales!PivotTable1</c:name>
    <c:fmtId val="12"/>
  </c:pivotSource>
  <c:chart>
    <c:autoTitleDeleted val="0"/>
    <c:pivotFmts>
      <c:pivotFmt>
        <c:idx val="0"/>
        <c:spPr>
          <a:solidFill>
            <a:schemeClr val="accent3"/>
          </a:solidFill>
          <a:ln>
            <a:noFill/>
          </a:ln>
          <a:effectLst/>
        </c:spPr>
        <c:marker>
          <c:symbol val="circle"/>
          <c:size val="5"/>
          <c:spPr>
            <a:solidFill>
              <a:schemeClr val="accent3">
                <a:shade val="50000"/>
              </a:schemeClr>
            </a:solidFill>
            <a:ln w="9525">
              <a:solidFill>
                <a:schemeClr val="accent3">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hade val="70000"/>
              </a:schemeClr>
            </a:solidFill>
            <a:ln w="9525">
              <a:solidFill>
                <a:schemeClr val="accent3">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circle"/>
          <c:size val="5"/>
          <c:spPr>
            <a:solidFill>
              <a:schemeClr val="accent3">
                <a:shade val="90000"/>
              </a:schemeClr>
            </a:solidFill>
            <a:ln w="9525">
              <a:solidFill>
                <a:schemeClr val="accent3">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circle"/>
          <c:size val="5"/>
          <c:spPr>
            <a:solidFill>
              <a:schemeClr val="accent3">
                <a:tint val="90000"/>
              </a:schemeClr>
            </a:solidFill>
            <a:ln w="9525">
              <a:solidFill>
                <a:schemeClr val="accent3">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circle"/>
          <c:size val="5"/>
          <c:spPr>
            <a:solidFill>
              <a:schemeClr val="accent3">
                <a:tint val="70000"/>
              </a:schemeClr>
            </a:solidFill>
            <a:ln w="9525">
              <a:solidFill>
                <a:schemeClr val="accent3">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circle"/>
          <c:size val="5"/>
          <c:spPr>
            <a:solidFill>
              <a:schemeClr val="accent3">
                <a:tint val="50000"/>
              </a:schemeClr>
            </a:solidFill>
            <a:ln w="9525">
              <a:solidFill>
                <a:schemeClr val="accent3">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9889284016312E-2"/>
          <c:y val="7.9915280398574651E-2"/>
          <c:w val="0.76402404411086511"/>
          <c:h val="0.80870583857890233"/>
        </c:manualLayout>
      </c:layout>
      <c:barChart>
        <c:barDir val="col"/>
        <c:grouping val="stacked"/>
        <c:varyColors val="0"/>
        <c:ser>
          <c:idx val="0"/>
          <c:order val="0"/>
          <c:tx>
            <c:strRef>
              <c:f>Pivot_Sales!$B$3:$B$4</c:f>
              <c:strCache>
                <c:ptCount val="1"/>
                <c:pt idx="0">
                  <c:v>Burlington</c:v>
                </c:pt>
              </c:strCache>
            </c:strRef>
          </c:tx>
          <c:spPr>
            <a:solidFill>
              <a:schemeClr val="accent3">
                <a:shade val="50000"/>
              </a:schemeClr>
            </a:solidFill>
            <a:ln>
              <a:noFill/>
            </a:ln>
            <a:effectLst/>
          </c:spPr>
          <c:invertIfNegative val="0"/>
          <c:cat>
            <c:strRef>
              <c:f>Pivot_Sales!$A$5:$A$9</c:f>
              <c:strCache>
                <c:ptCount val="4"/>
                <c:pt idx="0">
                  <c:v>Asia</c:v>
                </c:pt>
                <c:pt idx="1">
                  <c:v>Europe</c:v>
                </c:pt>
                <c:pt idx="2">
                  <c:v>North America</c:v>
                </c:pt>
                <c:pt idx="3">
                  <c:v>South America</c:v>
                </c:pt>
              </c:strCache>
            </c:strRef>
          </c:cat>
          <c:val>
            <c:numRef>
              <c:f>Pivot_Sales!$B$5:$B$9</c:f>
              <c:numCache>
                <c:formatCode>General</c:formatCode>
                <c:ptCount val="4"/>
                <c:pt idx="0">
                  <c:v>98410</c:v>
                </c:pt>
                <c:pt idx="1">
                  <c:v>52105</c:v>
                </c:pt>
                <c:pt idx="2">
                  <c:v>56422</c:v>
                </c:pt>
                <c:pt idx="3">
                  <c:v>57301</c:v>
                </c:pt>
              </c:numCache>
            </c:numRef>
          </c:val>
          <c:extLst>
            <c:ext xmlns:c16="http://schemas.microsoft.com/office/drawing/2014/chart" uri="{C3380CC4-5D6E-409C-BE32-E72D297353CC}">
              <c16:uniqueId val="{00000000-1C3F-484B-81BB-58D2F4D33FF2}"/>
            </c:ext>
          </c:extLst>
        </c:ser>
        <c:ser>
          <c:idx val="1"/>
          <c:order val="1"/>
          <c:tx>
            <c:strRef>
              <c:f>Pivot_Sales!$C$3:$C$4</c:f>
              <c:strCache>
                <c:ptCount val="1"/>
                <c:pt idx="0">
                  <c:v>Kensington</c:v>
                </c:pt>
              </c:strCache>
            </c:strRef>
          </c:tx>
          <c:spPr>
            <a:solidFill>
              <a:schemeClr val="accent3">
                <a:shade val="70000"/>
              </a:schemeClr>
            </a:solidFill>
            <a:ln>
              <a:noFill/>
            </a:ln>
            <a:effectLst/>
          </c:spPr>
          <c:invertIfNegative val="0"/>
          <c:cat>
            <c:strRef>
              <c:f>Pivot_Sales!$A$5:$A$9</c:f>
              <c:strCache>
                <c:ptCount val="4"/>
                <c:pt idx="0">
                  <c:v>Asia</c:v>
                </c:pt>
                <c:pt idx="1">
                  <c:v>Europe</c:v>
                </c:pt>
                <c:pt idx="2">
                  <c:v>North America</c:v>
                </c:pt>
                <c:pt idx="3">
                  <c:v>South America</c:v>
                </c:pt>
              </c:strCache>
            </c:strRef>
          </c:cat>
          <c:val>
            <c:numRef>
              <c:f>Pivot_Sales!$C$5:$C$9</c:f>
              <c:numCache>
                <c:formatCode>General</c:formatCode>
                <c:ptCount val="4"/>
                <c:pt idx="0">
                  <c:v>79199</c:v>
                </c:pt>
                <c:pt idx="1">
                  <c:v>43477</c:v>
                </c:pt>
                <c:pt idx="2">
                  <c:v>35325</c:v>
                </c:pt>
                <c:pt idx="3">
                  <c:v>46164</c:v>
                </c:pt>
              </c:numCache>
            </c:numRef>
          </c:val>
          <c:extLst>
            <c:ext xmlns:c16="http://schemas.microsoft.com/office/drawing/2014/chart" uri="{C3380CC4-5D6E-409C-BE32-E72D297353CC}">
              <c16:uniqueId val="{00000030-393A-4B46-922F-120824B12F37}"/>
            </c:ext>
          </c:extLst>
        </c:ser>
        <c:ser>
          <c:idx val="2"/>
          <c:order val="2"/>
          <c:tx>
            <c:strRef>
              <c:f>Pivot_Sales!$D$3:$D$4</c:f>
              <c:strCache>
                <c:ptCount val="1"/>
                <c:pt idx="0">
                  <c:v>Luxe</c:v>
                </c:pt>
              </c:strCache>
            </c:strRef>
          </c:tx>
          <c:spPr>
            <a:solidFill>
              <a:schemeClr val="accent3">
                <a:shade val="90000"/>
              </a:schemeClr>
            </a:solidFill>
            <a:ln>
              <a:noFill/>
            </a:ln>
            <a:effectLst/>
          </c:spPr>
          <c:invertIfNegative val="0"/>
          <c:cat>
            <c:strRef>
              <c:f>Pivot_Sales!$A$5:$A$9</c:f>
              <c:strCache>
                <c:ptCount val="4"/>
                <c:pt idx="0">
                  <c:v>Asia</c:v>
                </c:pt>
                <c:pt idx="1">
                  <c:v>Europe</c:v>
                </c:pt>
                <c:pt idx="2">
                  <c:v>North America</c:v>
                </c:pt>
                <c:pt idx="3">
                  <c:v>South America</c:v>
                </c:pt>
              </c:strCache>
            </c:strRef>
          </c:cat>
          <c:val>
            <c:numRef>
              <c:f>Pivot_Sales!$D$5:$D$9</c:f>
              <c:numCache>
                <c:formatCode>General</c:formatCode>
                <c:ptCount val="4"/>
                <c:pt idx="0">
                  <c:v>85075</c:v>
                </c:pt>
                <c:pt idx="1">
                  <c:v>36643</c:v>
                </c:pt>
                <c:pt idx="2">
                  <c:v>42415</c:v>
                </c:pt>
                <c:pt idx="3">
                  <c:v>38658</c:v>
                </c:pt>
              </c:numCache>
            </c:numRef>
          </c:val>
          <c:extLst>
            <c:ext xmlns:c16="http://schemas.microsoft.com/office/drawing/2014/chart" uri="{C3380CC4-5D6E-409C-BE32-E72D297353CC}">
              <c16:uniqueId val="{00000031-393A-4B46-922F-120824B12F37}"/>
            </c:ext>
          </c:extLst>
        </c:ser>
        <c:ser>
          <c:idx val="3"/>
          <c:order val="3"/>
          <c:tx>
            <c:strRef>
              <c:f>Pivot_Sales!$E$3:$E$4</c:f>
              <c:strCache>
                <c:ptCount val="1"/>
                <c:pt idx="0">
                  <c:v>Mandarin</c:v>
                </c:pt>
              </c:strCache>
            </c:strRef>
          </c:tx>
          <c:spPr>
            <a:solidFill>
              <a:schemeClr val="accent3">
                <a:tint val="90000"/>
              </a:schemeClr>
            </a:solidFill>
            <a:ln>
              <a:noFill/>
            </a:ln>
            <a:effectLst/>
          </c:spPr>
          <c:invertIfNegative val="0"/>
          <c:cat>
            <c:strRef>
              <c:f>Pivot_Sales!$A$5:$A$9</c:f>
              <c:strCache>
                <c:ptCount val="4"/>
                <c:pt idx="0">
                  <c:v>Asia</c:v>
                </c:pt>
                <c:pt idx="1">
                  <c:v>Europe</c:v>
                </c:pt>
                <c:pt idx="2">
                  <c:v>North America</c:v>
                </c:pt>
                <c:pt idx="3">
                  <c:v>South America</c:v>
                </c:pt>
              </c:strCache>
            </c:strRef>
          </c:cat>
          <c:val>
            <c:numRef>
              <c:f>Pivot_Sales!$E$5:$E$9</c:f>
              <c:numCache>
                <c:formatCode>General</c:formatCode>
                <c:ptCount val="4"/>
                <c:pt idx="0">
                  <c:v>118756</c:v>
                </c:pt>
                <c:pt idx="1">
                  <c:v>49527</c:v>
                </c:pt>
                <c:pt idx="2">
                  <c:v>48383</c:v>
                </c:pt>
                <c:pt idx="3">
                  <c:v>46171</c:v>
                </c:pt>
              </c:numCache>
            </c:numRef>
          </c:val>
          <c:extLst>
            <c:ext xmlns:c16="http://schemas.microsoft.com/office/drawing/2014/chart" uri="{C3380CC4-5D6E-409C-BE32-E72D297353CC}">
              <c16:uniqueId val="{00000032-393A-4B46-922F-120824B12F37}"/>
            </c:ext>
          </c:extLst>
        </c:ser>
        <c:ser>
          <c:idx val="4"/>
          <c:order val="4"/>
          <c:tx>
            <c:strRef>
              <c:f>Pivot_Sales!$F$3:$F$4</c:f>
              <c:strCache>
                <c:ptCount val="1"/>
                <c:pt idx="0">
                  <c:v>Royal Oak</c:v>
                </c:pt>
              </c:strCache>
            </c:strRef>
          </c:tx>
          <c:spPr>
            <a:solidFill>
              <a:schemeClr val="accent3">
                <a:tint val="70000"/>
              </a:schemeClr>
            </a:solidFill>
            <a:ln>
              <a:noFill/>
            </a:ln>
            <a:effectLst/>
          </c:spPr>
          <c:invertIfNegative val="0"/>
          <c:cat>
            <c:strRef>
              <c:f>Pivot_Sales!$A$5:$A$9</c:f>
              <c:strCache>
                <c:ptCount val="4"/>
                <c:pt idx="0">
                  <c:v>Asia</c:v>
                </c:pt>
                <c:pt idx="1">
                  <c:v>Europe</c:v>
                </c:pt>
                <c:pt idx="2">
                  <c:v>North America</c:v>
                </c:pt>
                <c:pt idx="3">
                  <c:v>South America</c:v>
                </c:pt>
              </c:strCache>
            </c:strRef>
          </c:cat>
          <c:val>
            <c:numRef>
              <c:f>Pivot_Sales!$F$5:$F$9</c:f>
              <c:numCache>
                <c:formatCode>General</c:formatCode>
                <c:ptCount val="4"/>
                <c:pt idx="0">
                  <c:v>90928</c:v>
                </c:pt>
                <c:pt idx="1">
                  <c:v>55528</c:v>
                </c:pt>
                <c:pt idx="2">
                  <c:v>36482</c:v>
                </c:pt>
                <c:pt idx="3">
                  <c:v>42528</c:v>
                </c:pt>
              </c:numCache>
            </c:numRef>
          </c:val>
          <c:extLst>
            <c:ext xmlns:c16="http://schemas.microsoft.com/office/drawing/2014/chart" uri="{C3380CC4-5D6E-409C-BE32-E72D297353CC}">
              <c16:uniqueId val="{00000033-393A-4B46-922F-120824B12F37}"/>
            </c:ext>
          </c:extLst>
        </c:ser>
        <c:ser>
          <c:idx val="5"/>
          <c:order val="5"/>
          <c:tx>
            <c:strRef>
              <c:f>Pivot_Sales!$G$3:$G$4</c:f>
              <c:strCache>
                <c:ptCount val="1"/>
                <c:pt idx="0">
                  <c:v>Vermont</c:v>
                </c:pt>
              </c:strCache>
            </c:strRef>
          </c:tx>
          <c:spPr>
            <a:solidFill>
              <a:schemeClr val="accent3">
                <a:tint val="50000"/>
              </a:schemeClr>
            </a:solidFill>
            <a:ln>
              <a:noFill/>
            </a:ln>
            <a:effectLst/>
          </c:spPr>
          <c:invertIfNegative val="0"/>
          <c:cat>
            <c:strRef>
              <c:f>Pivot_Sales!$A$5:$A$9</c:f>
              <c:strCache>
                <c:ptCount val="4"/>
                <c:pt idx="0">
                  <c:v>Asia</c:v>
                </c:pt>
                <c:pt idx="1">
                  <c:v>Europe</c:v>
                </c:pt>
                <c:pt idx="2">
                  <c:v>North America</c:v>
                </c:pt>
                <c:pt idx="3">
                  <c:v>South America</c:v>
                </c:pt>
              </c:strCache>
            </c:strRef>
          </c:cat>
          <c:val>
            <c:numRef>
              <c:f>Pivot_Sales!$G$5:$G$9</c:f>
              <c:numCache>
                <c:formatCode>General</c:formatCode>
                <c:ptCount val="4"/>
                <c:pt idx="0">
                  <c:v>209185</c:v>
                </c:pt>
                <c:pt idx="1">
                  <c:v>96865</c:v>
                </c:pt>
                <c:pt idx="2">
                  <c:v>107004</c:v>
                </c:pt>
                <c:pt idx="3">
                  <c:v>93544</c:v>
                </c:pt>
              </c:numCache>
            </c:numRef>
          </c:val>
          <c:extLst>
            <c:ext xmlns:c16="http://schemas.microsoft.com/office/drawing/2014/chart" uri="{C3380CC4-5D6E-409C-BE32-E72D297353CC}">
              <c16:uniqueId val="{00000034-393A-4B46-922F-120824B12F37}"/>
            </c:ext>
          </c:extLst>
        </c:ser>
        <c:dLbls>
          <c:showLegendKey val="0"/>
          <c:showVal val="0"/>
          <c:showCatName val="0"/>
          <c:showSerName val="0"/>
          <c:showPercent val="0"/>
          <c:showBubbleSize val="0"/>
        </c:dLbls>
        <c:gapWidth val="150"/>
        <c:overlap val="100"/>
        <c:axId val="569083808"/>
        <c:axId val="2015280272"/>
      </c:barChart>
      <c:catAx>
        <c:axId val="56908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5280272"/>
        <c:crosses val="autoZero"/>
        <c:auto val="1"/>
        <c:lblAlgn val="ctr"/>
        <c:lblOffset val="100"/>
        <c:noMultiLvlLbl val="0"/>
      </c:catAx>
      <c:valAx>
        <c:axId val="201528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9083808"/>
        <c:crosses val="autoZero"/>
        <c:crossBetween val="between"/>
      </c:valAx>
      <c:spPr>
        <a:noFill/>
        <a:ln>
          <a:noFill/>
        </a:ln>
        <a:effectLst/>
      </c:spPr>
    </c:plotArea>
    <c:legend>
      <c:legendPos val="r"/>
      <c:layout>
        <c:manualLayout>
          <c:xMode val="edge"/>
          <c:yMode val="edge"/>
          <c:x val="0.84755878236695203"/>
          <c:y val="0.26033300954182975"/>
          <c:w val="0.12331295786599933"/>
          <c:h val="0.345801565099376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8</xdr:col>
      <xdr:colOff>147574</xdr:colOff>
      <xdr:row>10</xdr:row>
      <xdr:rowOff>160508</xdr:rowOff>
    </xdr:from>
    <xdr:to>
      <xdr:col>16</xdr:col>
      <xdr:colOff>265373</xdr:colOff>
      <xdr:row>36</xdr:row>
      <xdr:rowOff>276</xdr:rowOff>
    </xdr:to>
    <xdr:graphicFrame macro="">
      <xdr:nvGraphicFramePr>
        <xdr:cNvPr id="2" name="Chart 1">
          <a:extLst>
            <a:ext uri="{FF2B5EF4-FFF2-40B4-BE49-F238E27FC236}">
              <a16:creationId xmlns:a16="http://schemas.microsoft.com/office/drawing/2014/main" id="{D9CDAA3F-F609-46C0-95CB-FD9F60C68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253707</xdr:colOff>
      <xdr:row>10</xdr:row>
      <xdr:rowOff>145575</xdr:rowOff>
    </xdr:from>
    <xdr:to>
      <xdr:col>8</xdr:col>
      <xdr:colOff>205155</xdr:colOff>
      <xdr:row>36</xdr:row>
      <xdr:rowOff>138434</xdr:rowOff>
    </xdr:to>
    <xdr:graphicFrame macro="">
      <xdr:nvGraphicFramePr>
        <xdr:cNvPr id="3" name="Chart 2">
          <a:extLst>
            <a:ext uri="{FF2B5EF4-FFF2-40B4-BE49-F238E27FC236}">
              <a16:creationId xmlns:a16="http://schemas.microsoft.com/office/drawing/2014/main" id="{80E5C830-D85A-4803-9110-1C4CCAA9E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282586</xdr:colOff>
      <xdr:row>6</xdr:row>
      <xdr:rowOff>46700</xdr:rowOff>
    </xdr:from>
    <xdr:to>
      <xdr:col>4</xdr:col>
      <xdr:colOff>808856</xdr:colOff>
      <xdr:row>7</xdr:row>
      <xdr:rowOff>308031</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E4DD1A71-DC55-49A8-9FCA-49F654B38FC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2586" y="1155581"/>
              <a:ext cx="4004554" cy="447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964495</xdr:colOff>
      <xdr:row>6</xdr:row>
      <xdr:rowOff>26501</xdr:rowOff>
    </xdr:from>
    <xdr:to>
      <xdr:col>9</xdr:col>
      <xdr:colOff>426850</xdr:colOff>
      <xdr:row>7</xdr:row>
      <xdr:rowOff>252710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1B89A5C-0D62-44C5-925F-04B878AE31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42779" y="1135382"/>
              <a:ext cx="4551832" cy="412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551514</xdr:colOff>
      <xdr:row>6</xdr:row>
      <xdr:rowOff>1416</xdr:rowOff>
    </xdr:from>
    <xdr:to>
      <xdr:col>16</xdr:col>
      <xdr:colOff>163847</xdr:colOff>
      <xdr:row>7</xdr:row>
      <xdr:rowOff>279799</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CC91B721-1121-4512-BD36-E0ED3659EEA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147708" y="1110297"/>
              <a:ext cx="5460020" cy="464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284667</xdr:colOff>
      <xdr:row>4</xdr:row>
      <xdr:rowOff>66928</xdr:rowOff>
    </xdr:from>
    <xdr:to>
      <xdr:col>2</xdr:col>
      <xdr:colOff>106073</xdr:colOff>
      <xdr:row>6</xdr:row>
      <xdr:rowOff>126460</xdr:rowOff>
    </xdr:to>
    <xdr:sp macro="" textlink="">
      <xdr:nvSpPr>
        <xdr:cNvPr id="7" name="TextBox 6">
          <a:extLst>
            <a:ext uri="{FF2B5EF4-FFF2-40B4-BE49-F238E27FC236}">
              <a16:creationId xmlns:a16="http://schemas.microsoft.com/office/drawing/2014/main" id="{6C5BF788-9B47-9995-BC36-C51A3348B79A}"/>
            </a:ext>
          </a:extLst>
        </xdr:cNvPr>
        <xdr:cNvSpPr txBox="1"/>
      </xdr:nvSpPr>
      <xdr:spPr>
        <a:xfrm>
          <a:off x="284667" y="809390"/>
          <a:ext cx="1824098" cy="4112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solidFill>
            </a:rPr>
            <a:t>Country</a:t>
          </a:r>
        </a:p>
      </xdr:txBody>
    </xdr:sp>
    <xdr:clientData/>
  </xdr:twoCellAnchor>
  <xdr:twoCellAnchor>
    <xdr:from>
      <xdr:col>4</xdr:col>
      <xdr:colOff>1015091</xdr:colOff>
      <xdr:row>4</xdr:row>
      <xdr:rowOff>68886</xdr:rowOff>
    </xdr:from>
    <xdr:to>
      <xdr:col>6</xdr:col>
      <xdr:colOff>28647</xdr:colOff>
      <xdr:row>6</xdr:row>
      <xdr:rowOff>57341</xdr:rowOff>
    </xdr:to>
    <xdr:sp macro="" textlink="">
      <xdr:nvSpPr>
        <xdr:cNvPr id="8" name="TextBox 7">
          <a:extLst>
            <a:ext uri="{FF2B5EF4-FFF2-40B4-BE49-F238E27FC236}">
              <a16:creationId xmlns:a16="http://schemas.microsoft.com/office/drawing/2014/main" id="{0D68ECC0-B86C-7D61-CF84-AA54D60E3779}"/>
            </a:ext>
          </a:extLst>
        </xdr:cNvPr>
        <xdr:cNvSpPr txBox="1"/>
      </xdr:nvSpPr>
      <xdr:spPr>
        <a:xfrm>
          <a:off x="4493375" y="817617"/>
          <a:ext cx="1439824" cy="348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solidFill>
            </a:rPr>
            <a:t>Region</a:t>
          </a:r>
        </a:p>
      </xdr:txBody>
    </xdr:sp>
    <xdr:clientData/>
  </xdr:twoCellAnchor>
  <xdr:twoCellAnchor>
    <xdr:from>
      <xdr:col>9</xdr:col>
      <xdr:colOff>572761</xdr:colOff>
      <xdr:row>4</xdr:row>
      <xdr:rowOff>21769</xdr:rowOff>
    </xdr:from>
    <xdr:to>
      <xdr:col>10</xdr:col>
      <xdr:colOff>552980</xdr:colOff>
      <xdr:row>6</xdr:row>
      <xdr:rowOff>21768</xdr:rowOff>
    </xdr:to>
    <xdr:sp macro="" textlink="">
      <xdr:nvSpPr>
        <xdr:cNvPr id="9" name="TextBox 8">
          <a:extLst>
            <a:ext uri="{FF2B5EF4-FFF2-40B4-BE49-F238E27FC236}">
              <a16:creationId xmlns:a16="http://schemas.microsoft.com/office/drawing/2014/main" id="{DC4DC8A5-F956-B662-CFFB-C55CD46C6C53}"/>
            </a:ext>
          </a:extLst>
        </xdr:cNvPr>
        <xdr:cNvSpPr txBox="1"/>
      </xdr:nvSpPr>
      <xdr:spPr>
        <a:xfrm>
          <a:off x="9168955" y="770500"/>
          <a:ext cx="1269174" cy="360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Product</a:t>
          </a:r>
        </a:p>
      </xdr:txBody>
    </xdr:sp>
    <xdr:clientData/>
  </xdr:twoCellAnchor>
  <xdr:twoCellAnchor editAs="oneCell">
    <xdr:from>
      <xdr:col>4</xdr:col>
      <xdr:colOff>917769</xdr:colOff>
      <xdr:row>2</xdr:row>
      <xdr:rowOff>60146</xdr:rowOff>
    </xdr:from>
    <xdr:to>
      <xdr:col>5</xdr:col>
      <xdr:colOff>8035</xdr:colOff>
      <xdr:row>2</xdr:row>
      <xdr:rowOff>311394</xdr:rowOff>
    </xdr:to>
    <xdr:pic>
      <xdr:nvPicPr>
        <xdr:cNvPr id="11" name="Graphic 10" descr="Robot with solid fill">
          <a:extLst>
            <a:ext uri="{FF2B5EF4-FFF2-40B4-BE49-F238E27FC236}">
              <a16:creationId xmlns:a16="http://schemas.microsoft.com/office/drawing/2014/main" id="{9D1F38DA-E0EA-8839-4553-EF19DC8478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82793" y="624930"/>
          <a:ext cx="253415" cy="251248"/>
        </a:xfrm>
        <a:prstGeom prst="rect">
          <a:avLst/>
        </a:prstGeom>
      </xdr:spPr>
    </xdr:pic>
    <xdr:clientData/>
  </xdr:twoCellAnchor>
  <xdr:twoCellAnchor editAs="oneCell">
    <xdr:from>
      <xdr:col>7</xdr:col>
      <xdr:colOff>59341</xdr:colOff>
      <xdr:row>2</xdr:row>
      <xdr:rowOff>90246</xdr:rowOff>
    </xdr:from>
    <xdr:to>
      <xdr:col>7</xdr:col>
      <xdr:colOff>287824</xdr:colOff>
      <xdr:row>2</xdr:row>
      <xdr:rowOff>317500</xdr:rowOff>
    </xdr:to>
    <xdr:pic>
      <xdr:nvPicPr>
        <xdr:cNvPr id="13" name="Graphic 12" descr="Pie chart with solid fill">
          <a:extLst>
            <a:ext uri="{FF2B5EF4-FFF2-40B4-BE49-F238E27FC236}">
              <a16:creationId xmlns:a16="http://schemas.microsoft.com/office/drawing/2014/main" id="{BD75D9DC-978D-A841-DDA5-CCAC1FA1AC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96985" y="655030"/>
          <a:ext cx="228483" cy="2272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Jagtap" refreshedDate="46259.665164120372" createdVersion="8" refreshedVersion="8" minRefreshableVersion="3" recordCount="700" xr:uid="{96BB82DC-BA4C-4213-A94F-CCA86B5DF21B}">
  <cacheSource type="worksheet">
    <worksheetSource name="SalesData_1"/>
  </cacheSource>
  <cacheFields count="11">
    <cacheField name="Country" numFmtId="0">
      <sharedItems count="5">
        <s v="Japan"/>
        <s v="India"/>
        <s v="UK"/>
        <s v="Brazil"/>
        <s v="USA"/>
      </sharedItems>
    </cacheField>
    <cacheField name="Region" numFmtId="0">
      <sharedItems count="4">
        <s v="Asia"/>
        <s v="Europe"/>
        <s v="South America"/>
        <s v="North America"/>
      </sharedItems>
    </cacheField>
    <cacheField name="Product" numFmtId="0">
      <sharedItems count="6">
        <s v="Kensington"/>
        <s v="Royal Oak"/>
        <s v="Vermont"/>
        <s v="Burlington"/>
        <s v="Mandarin"/>
        <s v="Luxe"/>
      </sharedItems>
    </cacheField>
    <cacheField name="Units Sold" numFmtId="0">
      <sharedItems containsSemiMixedTypes="0" containsString="0" containsNumber="1" containsInteger="1" minValue="213" maxValue="4492" count="635">
        <n v="1372"/>
        <n v="2762"/>
        <n v="1464"/>
        <n v="719"/>
        <n v="3576"/>
        <n v="4422"/>
        <n v="3649"/>
        <n v="4172"/>
        <n v="3841"/>
        <n v="3726"/>
        <n v="2625"/>
        <n v="1958"/>
        <n v="3271"/>
        <n v="2091"/>
        <n v="2530"/>
        <n v="2825"/>
        <n v="2513"/>
        <n v="883"/>
        <n v="2087"/>
        <n v="2563"/>
        <n v="2846"/>
        <n v="997"/>
        <n v="3421"/>
        <n v="2291"/>
        <n v="2290"/>
        <n v="2133"/>
        <n v="3475"/>
        <n v="3686"/>
        <n v="3319"/>
        <n v="3617"/>
        <n v="1266"/>
        <n v="894"/>
        <n v="2725"/>
        <n v="3061"/>
        <n v="3958"/>
        <n v="3920"/>
        <n v="3381"/>
        <n v="1094"/>
        <n v="4307"/>
        <n v="878"/>
        <n v="496"/>
        <n v="3367"/>
        <n v="3880"/>
        <n v="2055"/>
        <n v="4041"/>
        <n v="3237"/>
        <n v="630"/>
        <n v="4210"/>
        <n v="1127"/>
        <n v="3438"/>
        <n v="2015"/>
        <n v="2534"/>
        <n v="1384"/>
        <n v="3561"/>
        <n v="1823"/>
        <n v="2795"/>
        <n v="457"/>
        <n v="3785"/>
        <n v="748"/>
        <n v="1021"/>
        <n v="2076"/>
        <n v="4316"/>
        <n v="2654"/>
        <n v="4174"/>
        <n v="1675"/>
        <n v="1572"/>
        <n v="3736"/>
        <n v="1914"/>
        <n v="2742"/>
        <n v="1499"/>
        <n v="3772"/>
        <n v="1112"/>
        <n v="1723"/>
        <n v="423"/>
        <n v="2368"/>
        <n v="1586"/>
        <n v="3386"/>
        <n v="852"/>
        <n v="2783"/>
        <n v="2684"/>
        <n v="4393"/>
        <n v="4083"/>
        <n v="2816"/>
        <n v="4294"/>
        <n v="2856"/>
        <n v="1407"/>
        <n v="3850"/>
        <n v="1265"/>
        <n v="3892"/>
        <n v="3068"/>
        <n v="2181"/>
        <n v="1356"/>
        <n v="2545"/>
        <n v="1814"/>
        <n v="1495"/>
        <n v="1154"/>
        <n v="4180"/>
        <n v="1463"/>
        <n v="215"/>
        <n v="4099"/>
        <n v="2660"/>
        <n v="566"/>
        <n v="3255"/>
        <n v="772"/>
        <n v="1135"/>
        <n v="3826"/>
        <n v="1193"/>
        <n v="3451"/>
        <n v="3059"/>
        <n v="3957"/>
        <n v="3444"/>
        <n v="4388"/>
        <n v="2106"/>
        <n v="799"/>
        <n v="3154"/>
        <n v="4108"/>
        <n v="3760"/>
        <n v="377"/>
        <n v="2110"/>
        <n v="2334"/>
        <n v="580"/>
        <n v="2610"/>
        <n v="1598"/>
        <n v="1459"/>
        <n v="3284"/>
        <n v="1197"/>
        <n v="3774"/>
        <n v="2303"/>
        <n v="2572"/>
        <n v="320"/>
        <n v="2126"/>
        <n v="3275"/>
        <n v="3582"/>
        <n v="783"/>
        <n v="1202"/>
        <n v="4056"/>
        <n v="2144"/>
        <n v="3502"/>
        <n v="1397"/>
        <n v="679"/>
        <n v="2351"/>
        <n v="2043"/>
        <n v="3565"/>
        <n v="1401"/>
        <n v="2077"/>
        <n v="3643"/>
        <n v="1105"/>
        <n v="2960"/>
        <n v="1201"/>
        <n v="2321"/>
        <n v="3640"/>
        <n v="3972"/>
        <n v="3878"/>
        <n v="2278"/>
        <n v="1075"/>
        <n v="4050"/>
        <n v="3035"/>
        <n v="3636"/>
        <n v="1379"/>
        <n v="4492"/>
        <n v="764"/>
        <n v="1744"/>
        <n v="2341"/>
        <n v="3835"/>
        <n v="1161"/>
        <n v="876"/>
        <n v="1705"/>
        <n v="1805"/>
        <n v="389"/>
        <n v="2745"/>
        <n v="3938"/>
        <n v="4236"/>
        <n v="3627"/>
        <n v="1756"/>
        <n v="307"/>
        <n v="4489"/>
        <n v="2167"/>
        <n v="1137"/>
        <n v="1222"/>
        <n v="489"/>
        <n v="4133"/>
        <n v="2743"/>
        <n v="3699"/>
        <n v="4460"/>
        <n v="1232"/>
        <n v="2586"/>
        <n v="1332"/>
        <n v="4487"/>
        <n v="3862"/>
        <n v="1765"/>
        <n v="3533"/>
        <n v="2016"/>
        <n v="2938"/>
        <n v="3352"/>
        <n v="4409"/>
        <n v="3323"/>
        <n v="2430"/>
        <n v="535"/>
        <n v="1523"/>
        <n v="3631"/>
        <n v="1782"/>
        <n v="347"/>
        <n v="4147"/>
        <n v="3509"/>
        <n v="2774"/>
        <n v="2943"/>
        <n v="4037"/>
        <n v="4146"/>
        <n v="4123"/>
        <n v="1337"/>
        <n v="599"/>
        <n v="725"/>
        <n v="477"/>
        <n v="2325"/>
        <n v="675"/>
        <n v="2990"/>
        <n v="1072"/>
        <n v="1048"/>
        <n v="469"/>
        <n v="804"/>
        <n v="4240"/>
        <n v="1976"/>
        <n v="1984"/>
        <n v="480"/>
        <n v="3551"/>
        <n v="1205"/>
        <n v="2480"/>
        <n v="2926"/>
        <n v="3210"/>
        <n v="3221"/>
        <n v="2389"/>
        <n v="319"/>
        <n v="1610"/>
        <n v="4100"/>
        <n v="1012"/>
        <n v="3337"/>
        <n v="3955"/>
        <n v="4347"/>
        <n v="1548"/>
        <n v="2153"/>
        <n v="3789"/>
        <n v="4364"/>
        <n v="4126"/>
        <n v="1343"/>
        <n v="245"/>
        <n v="3376"/>
        <n v="3483"/>
        <n v="2244"/>
        <n v="1360"/>
        <n v="279"/>
        <n v="2521"/>
        <n v="2433"/>
        <n v="1738"/>
        <n v="1106"/>
        <n v="3379"/>
        <n v="1221"/>
        <n v="213"/>
        <n v="3335"/>
        <n v="1260"/>
        <n v="3034"/>
        <n v="2929"/>
        <n v="3086"/>
        <n v="745"/>
        <n v="3790"/>
        <n v="4287"/>
        <n v="3193"/>
        <n v="1967"/>
        <n v="631"/>
        <n v="3469"/>
        <n v="570"/>
        <n v="3215"/>
        <n v="3754"/>
        <n v="2187"/>
        <n v="1959"/>
        <n v="3559"/>
        <n v="2205"/>
        <n v="1890"/>
        <n v="1296"/>
        <n v="775"/>
        <n v="2417"/>
        <n v="1158"/>
        <n v="803"/>
        <n v="3705"/>
        <n v="589"/>
        <n v="3797"/>
        <n v="1321"/>
        <n v="3999"/>
        <n v="4256"/>
        <n v="1643"/>
        <n v="1912"/>
        <n v="2160"/>
        <n v="466"/>
        <n v="328"/>
        <n v="990"/>
        <n v="1433"/>
        <n v="1478"/>
        <n v="3798"/>
        <n v="447"/>
        <n v="1711"/>
        <n v="1732"/>
        <n v="1759"/>
        <n v="338"/>
        <n v="3911"/>
        <n v="3691"/>
        <n v="4473"/>
        <n v="383"/>
        <n v="3105"/>
        <n v="1062"/>
        <n v="3974"/>
        <n v="3723"/>
        <n v="2435"/>
        <n v="1678"/>
        <n v="1763"/>
        <n v="1246"/>
        <n v="1615"/>
        <n v="749"/>
        <n v="1318"/>
        <n v="2882"/>
        <n v="3039"/>
        <n v="2484"/>
        <n v="3169"/>
        <n v="4080"/>
        <n v="3943"/>
        <n v="784"/>
        <n v="253"/>
        <n v="1316"/>
        <n v="808"/>
        <n v="3295"/>
        <n v="520"/>
        <n v="3942"/>
        <n v="2498"/>
        <n v="2517"/>
        <n v="3182"/>
        <n v="1145"/>
        <n v="895"/>
        <n v="3814"/>
        <n v="1188"/>
        <n v="2233"/>
        <n v="421"/>
        <n v="269"/>
        <n v="3766"/>
        <n v="952"/>
        <n v="2964"/>
        <n v="1505"/>
        <n v="4249"/>
        <n v="1677"/>
        <n v="3051"/>
        <n v="3372"/>
        <n v="1686"/>
        <n v="4150"/>
        <n v="3027"/>
        <n v="4359"/>
        <n v="3628"/>
        <n v="1589"/>
        <n v="2679"/>
        <n v="3401"/>
        <n v="2815"/>
        <n v="4173"/>
        <n v="1157"/>
        <n v="3065"/>
        <n v="1962"/>
        <n v="1713"/>
        <n v="4082"/>
        <n v="1691"/>
        <n v="2305"/>
        <n v="2288"/>
        <n v="2399"/>
        <n v="4086"/>
        <n v="2651"/>
        <n v="3971"/>
        <n v="2512"/>
        <n v="1903"/>
        <n v="647"/>
        <n v="2914"/>
        <n v="1889"/>
        <n v="1466"/>
        <n v="887"/>
        <n v="395"/>
        <n v="1693"/>
        <n v="2459"/>
        <n v="2649"/>
        <n v="3608"/>
        <n v="1073"/>
        <n v="1754"/>
        <n v="1319"/>
        <n v="1679"/>
        <n v="1252"/>
        <n v="3493"/>
        <n v="1697"/>
        <n v="1156"/>
        <n v="726"/>
        <n v="1153"/>
        <n v="2720"/>
        <n v="3658"/>
        <n v="2950"/>
        <n v="1821"/>
        <n v="2209"/>
        <n v="862"/>
        <n v="3805"/>
        <n v="1415"/>
        <n v="2231"/>
        <n v="2948"/>
        <n v="3395"/>
        <n v="2650"/>
        <n v="585"/>
        <n v="4459"/>
        <n v="2711"/>
        <n v="2621"/>
        <n v="3613"/>
        <n v="1847"/>
        <n v="2996"/>
        <n v="2838"/>
        <n v="1302"/>
        <n v="1536"/>
        <n v="1291"/>
        <n v="1213"/>
        <n v="2370"/>
        <n v="1979"/>
        <n v="2879"/>
        <n v="1707"/>
        <n v="2933"/>
        <n v="1014"/>
        <n v="693"/>
        <n v="3741"/>
        <n v="3116"/>
        <n v="3995"/>
        <n v="953"/>
        <n v="2565"/>
        <n v="4297"/>
        <n v="2871"/>
        <n v="3537"/>
        <n v="2616"/>
        <n v="2836"/>
        <n v="4023"/>
        <n v="3994"/>
        <n v="2928"/>
        <n v="2912"/>
        <n v="3671"/>
        <n v="2778"/>
        <n v="405"/>
        <n v="2013"/>
        <n v="2634"/>
        <n v="4166"/>
        <n v="355"/>
        <n v="2382"/>
        <n v="4170"/>
        <n v="892"/>
        <n v="2200"/>
        <n v="3389"/>
        <n v="4013"/>
        <n v="739"/>
        <n v="1989"/>
        <n v="2991"/>
        <n v="4237"/>
        <n v="1442"/>
        <n v="2712"/>
        <n v="1508"/>
        <n v="4245"/>
        <n v="2630"/>
        <n v="1182"/>
        <n v="963"/>
        <n v="3243"/>
        <n v="1120"/>
        <n v="1174"/>
        <n v="2541"/>
        <n v="3246"/>
        <n v="1531"/>
        <n v="2526"/>
        <n v="1136"/>
        <n v="1983"/>
        <n v="3259"/>
        <n v="3267"/>
        <n v="2454"/>
        <n v="2643"/>
        <n v="2801"/>
        <n v="1667"/>
        <n v="3539"/>
        <n v="4226"/>
        <n v="2220"/>
        <n v="776"/>
        <n v="553"/>
        <n v="2107"/>
        <n v="2468"/>
        <n v="1905"/>
        <n v="4301"/>
        <n v="2446"/>
        <n v="4209"/>
        <n v="3353"/>
        <n v="1865"/>
        <n v="463"/>
        <n v="4177"/>
        <n v="2523"/>
        <n v="1930"/>
        <n v="1301"/>
        <n v="4125"/>
        <n v="607"/>
        <n v="478"/>
        <n v="1504"/>
        <n v="3763"/>
        <n v="2412"/>
        <n v="2342"/>
        <n v="4451"/>
        <n v="3796"/>
        <n v="2286"/>
        <n v="3614"/>
        <n v="1716"/>
        <n v="4175"/>
        <n v="975"/>
        <n v="1873"/>
        <n v="3558"/>
        <n v="3156"/>
        <n v="2994"/>
        <n v="1056"/>
        <n v="1353"/>
        <n v="416"/>
        <n v="809"/>
        <n v="1892"/>
        <n v="2072"/>
        <n v="3052"/>
        <n v="3121"/>
        <n v="2059"/>
        <n v="4254"/>
        <n v="1293"/>
        <n v="230"/>
        <n v="240"/>
        <n v="2571"/>
        <n v="1661"/>
        <n v="4474"/>
        <n v="833"/>
        <n v="674"/>
        <n v="778"/>
        <n v="1457"/>
        <n v="3158"/>
        <n v="4095"/>
        <n v="3170"/>
        <n v="493"/>
        <n v="3286"/>
        <n v="3563"/>
        <n v="4109"/>
        <n v="3653"/>
        <n v="2203"/>
        <n v="2924"/>
        <n v="1194"/>
        <n v="3366"/>
        <n v="1325"/>
        <n v="4243"/>
        <n v="2887"/>
        <n v="3839"/>
        <n v="1863"/>
        <n v="2858"/>
        <n v="2868"/>
        <n v="3914"/>
        <n v="524"/>
        <n v="3095"/>
        <n v="2410"/>
        <n v="4263"/>
        <n v="2239"/>
        <n v="569"/>
        <n v="3889"/>
        <n v="1378"/>
        <n v="2253"/>
        <n v="3202"/>
        <n v="2487"/>
        <n v="4428"/>
        <n v="1200"/>
        <n v="2953"/>
        <n v="1453"/>
        <n v="865"/>
        <n v="1737"/>
        <n v="1535"/>
        <n v="2532"/>
        <n v="1567"/>
        <n v="2640"/>
        <n v="3079"/>
        <n v="4130"/>
        <n v="3080"/>
        <n v="1530"/>
        <n v="2021"/>
        <n v="1804"/>
        <n v="2913"/>
        <n v="763"/>
        <n v="1425"/>
        <n v="4357"/>
        <n v="2138"/>
        <n v="3825"/>
        <n v="3393"/>
        <n v="2215"/>
        <n v="403"/>
        <n v="289"/>
        <n v="372"/>
        <n v="3781"/>
        <n v="1785"/>
        <n v="4029"/>
        <n v="2813"/>
        <n v="2150"/>
        <n v="2093"/>
        <n v="4391"/>
        <n v="2695"/>
        <n v="3735"/>
        <n v="4320"/>
        <n v="2828"/>
        <n v="1248"/>
        <n v="4035"/>
        <n v="359"/>
        <n v="3926"/>
        <n v="4247"/>
        <n v="1104"/>
        <n v="1449"/>
        <n v="1131"/>
        <n v="1468"/>
        <n v="1272"/>
        <n v="1403"/>
        <n v="2161"/>
        <n v="1937"/>
        <n v="1330"/>
        <n v="2426"/>
        <n v="2033"/>
        <n v="2029"/>
        <n v="1049"/>
        <n v="2509"/>
        <n v="1743"/>
        <n v="3418"/>
        <n v="1751"/>
        <n v="3228"/>
        <n v="1173"/>
        <n v="3160"/>
        <n v="4322"/>
        <n v="1901"/>
        <n v="2980"/>
        <n v="4068"/>
        <n v="2105"/>
        <n v="1647"/>
        <n v="235"/>
        <n v="1897"/>
        <n v="3621"/>
      </sharedItems>
    </cacheField>
    <cacheField name="Unit Price" numFmtId="0">
      <sharedItems containsSemiMixedTypes="0" containsString="0" containsNumber="1" containsInteger="1" minValue="7" maxValue="350"/>
    </cacheField>
    <cacheField name="Gross Sales" numFmtId="0">
      <sharedItems containsSemiMixedTypes="0" containsString="0" containsNumber="1" containsInteger="1" minValue="2580" maxValue="1547700"/>
    </cacheField>
    <cacheField name="COGS" numFmtId="0">
      <sharedItems containsSemiMixedTypes="0" containsString="0" containsNumber="1" minValue="918" maxValue="950625"/>
    </cacheField>
    <cacheField name="Profit" numFmtId="0">
      <sharedItems containsSemiMixedTypes="0" containsString="0" containsNumber="1" minValue="-653610" maxValue="1360710"/>
    </cacheField>
    <cacheField name="Date" numFmtId="22">
      <sharedItems containsSemiMixedTypes="0" containsNonDate="0" containsDate="1" containsString="0" minDate="2022-09-01T00:00:00" maxDate="2023-12-02T00:00:00"/>
    </cacheField>
    <cacheField name="Month Name" numFmtId="0">
      <sharedItems/>
    </cacheField>
    <cacheField name="Year" numFmtId="0">
      <sharedItems containsSemiMixedTypes="0" containsString="0" containsNumber="1" containsInteger="1" minValue="2022" maxValue="2023"/>
    </cacheField>
  </cacheFields>
  <extLst>
    <ext xmlns:x14="http://schemas.microsoft.com/office/spreadsheetml/2009/9/main" uri="{725AE2AE-9491-48be-B2B4-4EB974FC3084}">
      <x14:pivotCacheDefinition pivotCacheId="1376895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20"/>
    <n v="27440"/>
    <n v="16185"/>
    <n v="11255"/>
    <d v="2023-01-01T00:00:00"/>
    <s v="January"/>
    <n v="2023"/>
  </r>
  <r>
    <x v="1"/>
    <x v="0"/>
    <x v="0"/>
    <x v="1"/>
    <n v="20"/>
    <n v="55240"/>
    <n v="13210"/>
    <n v="42030"/>
    <d v="2023-01-01T00:00:00"/>
    <s v="January"/>
    <n v="2023"/>
  </r>
  <r>
    <x v="2"/>
    <x v="1"/>
    <x v="0"/>
    <x v="2"/>
    <n v="15"/>
    <n v="21960"/>
    <n v="21780"/>
    <n v="180"/>
    <d v="2023-06-01T00:00:00"/>
    <s v="June"/>
    <n v="2023"/>
  </r>
  <r>
    <x v="1"/>
    <x v="0"/>
    <x v="0"/>
    <x v="3"/>
    <n v="15"/>
    <n v="10785"/>
    <n v="8880"/>
    <n v="1905"/>
    <d v="2023-06-01T00:00:00"/>
    <s v="June"/>
    <n v="2023"/>
  </r>
  <r>
    <x v="3"/>
    <x v="2"/>
    <x v="0"/>
    <x v="4"/>
    <n v="15"/>
    <n v="53640"/>
    <n v="24700"/>
    <n v="28940"/>
    <d v="2023-06-01T00:00:00"/>
    <s v="June"/>
    <n v="2023"/>
  </r>
  <r>
    <x v="1"/>
    <x v="0"/>
    <x v="0"/>
    <x v="5"/>
    <n v="350"/>
    <n v="1547700"/>
    <n v="393380"/>
    <n v="1154320"/>
    <d v="2023-12-01T00:00:00"/>
    <s v="December"/>
    <n v="2023"/>
  </r>
  <r>
    <x v="1"/>
    <x v="0"/>
    <x v="1"/>
    <x v="6"/>
    <n v="15"/>
    <n v="54735"/>
    <n v="9210"/>
    <n v="45525"/>
    <d v="2023-03-01T00:00:00"/>
    <s v="March"/>
    <n v="2023"/>
  </r>
  <r>
    <x v="0"/>
    <x v="0"/>
    <x v="1"/>
    <x v="7"/>
    <n v="12"/>
    <n v="50064"/>
    <n v="7554"/>
    <n v="42510"/>
    <d v="2023-06-01T00:00:00"/>
    <s v="June"/>
    <n v="2023"/>
  </r>
  <r>
    <x v="2"/>
    <x v="1"/>
    <x v="1"/>
    <x v="8"/>
    <n v="20"/>
    <n v="76820"/>
    <n v="18990"/>
    <n v="57830"/>
    <d v="2023-06-01T00:00:00"/>
    <s v="June"/>
    <n v="2023"/>
  </r>
  <r>
    <x v="1"/>
    <x v="0"/>
    <x v="1"/>
    <x v="9"/>
    <n v="12"/>
    <n v="44712"/>
    <n v="4635"/>
    <n v="40077"/>
    <d v="2023-06-01T00:00:00"/>
    <s v="June"/>
    <n v="2023"/>
  </r>
  <r>
    <x v="3"/>
    <x v="2"/>
    <x v="1"/>
    <x v="10"/>
    <n v="15"/>
    <n v="39375"/>
    <n v="24700"/>
    <n v="14675"/>
    <d v="2023-06-01T00:00:00"/>
    <s v="June"/>
    <n v="2023"/>
  </r>
  <r>
    <x v="0"/>
    <x v="0"/>
    <x v="1"/>
    <x v="11"/>
    <n v="125"/>
    <n v="244750"/>
    <n v="319860"/>
    <n v="-75110"/>
    <d v="2023-07-01T00:00:00"/>
    <s v="July"/>
    <n v="2023"/>
  </r>
  <r>
    <x v="3"/>
    <x v="2"/>
    <x v="1"/>
    <x v="12"/>
    <n v="300"/>
    <n v="981300"/>
    <n v="239500"/>
    <n v="741800"/>
    <d v="2023-08-01T00:00:00"/>
    <s v="August"/>
    <n v="2023"/>
  </r>
  <r>
    <x v="1"/>
    <x v="0"/>
    <x v="1"/>
    <x v="13"/>
    <n v="7"/>
    <n v="14637"/>
    <n v="10730"/>
    <n v="3907"/>
    <d v="2023-09-01T00:00:00"/>
    <s v="September"/>
    <n v="2023"/>
  </r>
  <r>
    <x v="0"/>
    <x v="0"/>
    <x v="1"/>
    <x v="14"/>
    <n v="125"/>
    <n v="316250"/>
    <n v="41400"/>
    <n v="274850"/>
    <d v="2022-10-01T00:00:00"/>
    <s v="October"/>
    <n v="2022"/>
  </r>
  <r>
    <x v="4"/>
    <x v="3"/>
    <x v="1"/>
    <x v="15"/>
    <n v="15"/>
    <n v="42375"/>
    <n v="6150"/>
    <n v="36225"/>
    <d v="2023-12-01T00:00:00"/>
    <s v="December"/>
    <n v="2023"/>
  </r>
  <r>
    <x v="0"/>
    <x v="0"/>
    <x v="2"/>
    <x v="16"/>
    <n v="20"/>
    <n v="50260"/>
    <n v="2920"/>
    <n v="47340"/>
    <d v="2023-02-01T00:00:00"/>
    <s v="February"/>
    <n v="2023"/>
  </r>
  <r>
    <x v="3"/>
    <x v="2"/>
    <x v="2"/>
    <x v="17"/>
    <n v="15"/>
    <n v="13245"/>
    <n v="9740"/>
    <n v="3505"/>
    <d v="2023-02-01T00:00:00"/>
    <s v="February"/>
    <n v="2023"/>
  </r>
  <r>
    <x v="0"/>
    <x v="0"/>
    <x v="2"/>
    <x v="18"/>
    <n v="12"/>
    <n v="25044"/>
    <n v="7554"/>
    <n v="17490"/>
    <d v="2023-06-01T00:00:00"/>
    <s v="June"/>
    <n v="2023"/>
  </r>
  <r>
    <x v="1"/>
    <x v="0"/>
    <x v="2"/>
    <x v="19"/>
    <n v="350"/>
    <n v="897050"/>
    <n v="261560"/>
    <n v="635490"/>
    <d v="2023-06-01T00:00:00"/>
    <s v="June"/>
    <n v="2023"/>
  </r>
  <r>
    <x v="1"/>
    <x v="0"/>
    <x v="2"/>
    <x v="20"/>
    <n v="12"/>
    <n v="34152"/>
    <n v="1101"/>
    <n v="33051"/>
    <d v="2023-07-01T00:00:00"/>
    <s v="July"/>
    <n v="2023"/>
  </r>
  <r>
    <x v="3"/>
    <x v="2"/>
    <x v="2"/>
    <x v="21"/>
    <n v="7"/>
    <n v="6979"/>
    <n v="4415"/>
    <n v="2564"/>
    <d v="2023-08-01T00:00:00"/>
    <s v="August"/>
    <n v="2023"/>
  </r>
  <r>
    <x v="2"/>
    <x v="1"/>
    <x v="2"/>
    <x v="22"/>
    <n v="15"/>
    <n v="51315"/>
    <n v="5490"/>
    <n v="45825"/>
    <d v="2022-09-01T00:00:00"/>
    <s v="September"/>
    <n v="2022"/>
  </r>
  <r>
    <x v="3"/>
    <x v="2"/>
    <x v="2"/>
    <x v="23"/>
    <n v="300"/>
    <n v="687300"/>
    <n v="197000"/>
    <n v="490300"/>
    <d v="2022-09-01T00:00:00"/>
    <s v="September"/>
    <n v="2022"/>
  </r>
  <r>
    <x v="3"/>
    <x v="2"/>
    <x v="2"/>
    <x v="24"/>
    <n v="15"/>
    <n v="34350"/>
    <n v="24720"/>
    <n v="9630"/>
    <d v="2023-09-01T00:00:00"/>
    <s v="September"/>
    <n v="2023"/>
  </r>
  <r>
    <x v="4"/>
    <x v="3"/>
    <x v="2"/>
    <x v="25"/>
    <n v="7"/>
    <n v="14931"/>
    <n v="5715"/>
    <n v="9216"/>
    <d v="2023-10-01T00:00:00"/>
    <s v="October"/>
    <n v="2023"/>
  </r>
  <r>
    <x v="0"/>
    <x v="0"/>
    <x v="2"/>
    <x v="26"/>
    <n v="350"/>
    <n v="1216250"/>
    <n v="448500"/>
    <n v="767750"/>
    <d v="2022-11-01T00:00:00"/>
    <s v="November"/>
    <n v="2022"/>
  </r>
  <r>
    <x v="4"/>
    <x v="3"/>
    <x v="2"/>
    <x v="27"/>
    <n v="12"/>
    <n v="44232"/>
    <n v="2736"/>
    <n v="41496"/>
    <d v="2022-11-01T00:00:00"/>
    <s v="November"/>
    <n v="2022"/>
  </r>
  <r>
    <x v="0"/>
    <x v="0"/>
    <x v="2"/>
    <x v="28"/>
    <n v="15"/>
    <n v="49785"/>
    <n v="21520"/>
    <n v="28265"/>
    <d v="2022-12-01T00:00:00"/>
    <s v="December"/>
    <n v="2022"/>
  </r>
  <r>
    <x v="0"/>
    <x v="0"/>
    <x v="2"/>
    <x v="29"/>
    <n v="20"/>
    <n v="72340"/>
    <n v="18170"/>
    <n v="54170"/>
    <d v="2023-12-01T00:00:00"/>
    <s v="December"/>
    <n v="2023"/>
  </r>
  <r>
    <x v="1"/>
    <x v="0"/>
    <x v="2"/>
    <x v="30"/>
    <n v="350"/>
    <n v="443100"/>
    <n v="393380"/>
    <n v="49720"/>
    <d v="2023-12-01T00:00:00"/>
    <s v="December"/>
    <n v="2023"/>
  </r>
  <r>
    <x v="3"/>
    <x v="2"/>
    <x v="3"/>
    <x v="31"/>
    <n v="7"/>
    <n v="6258"/>
    <n v="7465"/>
    <n v="-1207"/>
    <d v="2023-01-01T00:00:00"/>
    <s v="January"/>
    <n v="2023"/>
  </r>
  <r>
    <x v="2"/>
    <x v="1"/>
    <x v="3"/>
    <x v="32"/>
    <n v="125"/>
    <n v="340625"/>
    <n v="216480"/>
    <n v="124145"/>
    <d v="2023-02-01T00:00:00"/>
    <s v="February"/>
    <n v="2023"/>
  </r>
  <r>
    <x v="1"/>
    <x v="0"/>
    <x v="3"/>
    <x v="33"/>
    <n v="12"/>
    <n v="36732"/>
    <n v="6483"/>
    <n v="30249"/>
    <d v="2023-03-01T00:00:00"/>
    <s v="March"/>
    <n v="2023"/>
  </r>
  <r>
    <x v="1"/>
    <x v="0"/>
    <x v="3"/>
    <x v="34"/>
    <n v="350"/>
    <n v="1385300"/>
    <n v="261560"/>
    <n v="1123740"/>
    <d v="2023-06-01T00:00:00"/>
    <s v="June"/>
    <n v="2023"/>
  </r>
  <r>
    <x v="1"/>
    <x v="0"/>
    <x v="3"/>
    <x v="35"/>
    <n v="12"/>
    <n v="47040"/>
    <n v="4635"/>
    <n v="42405"/>
    <d v="2023-06-01T00:00:00"/>
    <s v="June"/>
    <n v="2023"/>
  </r>
  <r>
    <x v="4"/>
    <x v="3"/>
    <x v="3"/>
    <x v="36"/>
    <n v="125"/>
    <n v="422625"/>
    <n v="338520"/>
    <n v="84105"/>
    <d v="2023-08-01T00:00:00"/>
    <s v="August"/>
    <n v="2023"/>
  </r>
  <r>
    <x v="0"/>
    <x v="0"/>
    <x v="3"/>
    <x v="37"/>
    <n v="125"/>
    <n v="136750"/>
    <n v="41400"/>
    <n v="95350"/>
    <d v="2022-10-01T00:00:00"/>
    <s v="October"/>
    <n v="2022"/>
  </r>
  <r>
    <x v="0"/>
    <x v="0"/>
    <x v="4"/>
    <x v="38"/>
    <n v="300"/>
    <n v="1292100"/>
    <n v="500250"/>
    <n v="791850"/>
    <d v="2023-02-01T00:00:00"/>
    <s v="February"/>
    <n v="2023"/>
  </r>
  <r>
    <x v="1"/>
    <x v="0"/>
    <x v="4"/>
    <x v="39"/>
    <n v="12"/>
    <n v="10536"/>
    <n v="8514"/>
    <n v="2022"/>
    <d v="2023-04-01T00:00:00"/>
    <s v="April"/>
    <n v="2023"/>
  </r>
  <r>
    <x v="2"/>
    <x v="1"/>
    <x v="4"/>
    <x v="40"/>
    <n v="15"/>
    <n v="7440"/>
    <n v="21780"/>
    <n v="-14340"/>
    <d v="2023-06-01T00:00:00"/>
    <s v="June"/>
    <n v="2023"/>
  </r>
  <r>
    <x v="1"/>
    <x v="0"/>
    <x v="4"/>
    <x v="41"/>
    <n v="15"/>
    <n v="50505"/>
    <n v="8880"/>
    <n v="41625"/>
    <d v="2023-06-01T00:00:00"/>
    <s v="June"/>
    <n v="2023"/>
  </r>
  <r>
    <x v="2"/>
    <x v="1"/>
    <x v="4"/>
    <x v="42"/>
    <n v="350"/>
    <n v="1358000"/>
    <n v="397020"/>
    <n v="960980"/>
    <d v="2022-09-01T00:00:00"/>
    <s v="September"/>
    <n v="2022"/>
  </r>
  <r>
    <x v="2"/>
    <x v="1"/>
    <x v="4"/>
    <x v="43"/>
    <n v="300"/>
    <n v="616500"/>
    <n v="537750"/>
    <n v="78750"/>
    <d v="2023-09-01T00:00:00"/>
    <s v="September"/>
    <n v="2023"/>
  </r>
  <r>
    <x v="0"/>
    <x v="0"/>
    <x v="4"/>
    <x v="44"/>
    <n v="20"/>
    <n v="80820"/>
    <n v="18170"/>
    <n v="62650"/>
    <d v="2023-12-01T00:00:00"/>
    <s v="December"/>
    <n v="2023"/>
  </r>
  <r>
    <x v="2"/>
    <x v="1"/>
    <x v="5"/>
    <x v="45"/>
    <n v="350"/>
    <n v="1132950"/>
    <n v="715000"/>
    <n v="417950"/>
    <d v="2023-02-01T00:00:00"/>
    <s v="February"/>
    <n v="2023"/>
  </r>
  <r>
    <x v="4"/>
    <x v="3"/>
    <x v="5"/>
    <x v="46"/>
    <n v="12"/>
    <n v="7560"/>
    <n v="5859"/>
    <n v="1701"/>
    <d v="2023-04-01T00:00:00"/>
    <s v="April"/>
    <n v="2023"/>
  </r>
  <r>
    <x v="1"/>
    <x v="0"/>
    <x v="5"/>
    <x v="47"/>
    <n v="125"/>
    <n v="526250"/>
    <n v="506340"/>
    <n v="19910"/>
    <d v="2023-04-01T00:00:00"/>
    <s v="April"/>
    <n v="2023"/>
  </r>
  <r>
    <x v="2"/>
    <x v="1"/>
    <x v="5"/>
    <x v="48"/>
    <n v="20"/>
    <n v="22540"/>
    <n v="18990"/>
    <n v="3550"/>
    <d v="2023-06-01T00:00:00"/>
    <s v="June"/>
    <n v="2023"/>
  </r>
  <r>
    <x v="1"/>
    <x v="0"/>
    <x v="5"/>
    <x v="49"/>
    <n v="7"/>
    <n v="24066"/>
    <n v="8430"/>
    <n v="15636"/>
    <d v="2023-07-01T00:00:00"/>
    <s v="July"/>
    <n v="2023"/>
  </r>
  <r>
    <x v="4"/>
    <x v="3"/>
    <x v="5"/>
    <x v="50"/>
    <n v="12"/>
    <n v="24180"/>
    <n v="6423"/>
    <n v="17757"/>
    <d v="2023-08-01T00:00:00"/>
    <s v="August"/>
    <n v="2023"/>
  </r>
  <r>
    <x v="4"/>
    <x v="3"/>
    <x v="5"/>
    <x v="51"/>
    <n v="7"/>
    <n v="17738"/>
    <n v="5715"/>
    <n v="12023"/>
    <d v="2023-10-01T00:00:00"/>
    <s v="October"/>
    <n v="2023"/>
  </r>
  <r>
    <x v="4"/>
    <x v="3"/>
    <x v="5"/>
    <x v="52"/>
    <n v="15"/>
    <n v="20760"/>
    <n v="6150"/>
    <n v="14610"/>
    <d v="2023-12-01T00:00:00"/>
    <s v="December"/>
    <n v="2023"/>
  </r>
  <r>
    <x v="2"/>
    <x v="1"/>
    <x v="2"/>
    <x v="53"/>
    <n v="7"/>
    <n v="24927"/>
    <n v="19725"/>
    <n v="5202"/>
    <d v="2023-01-01T00:00:00"/>
    <s v="January"/>
    <n v="2023"/>
  </r>
  <r>
    <x v="2"/>
    <x v="1"/>
    <x v="2"/>
    <x v="54"/>
    <n v="15"/>
    <n v="27345"/>
    <n v="22960"/>
    <n v="4385"/>
    <d v="2023-02-01T00:00:00"/>
    <s v="February"/>
    <n v="2023"/>
  </r>
  <r>
    <x v="2"/>
    <x v="1"/>
    <x v="2"/>
    <x v="55"/>
    <n v="7"/>
    <n v="19565"/>
    <n v="5150"/>
    <n v="14415"/>
    <d v="2023-05-01T00:00:00"/>
    <s v="May"/>
    <n v="2023"/>
  </r>
  <r>
    <x v="2"/>
    <x v="1"/>
    <x v="3"/>
    <x v="56"/>
    <n v="7"/>
    <n v="3199"/>
    <n v="3195"/>
    <n v="4"/>
    <d v="2023-11-01T00:00:00"/>
    <s v="November"/>
    <n v="2023"/>
  </r>
  <r>
    <x v="0"/>
    <x v="0"/>
    <x v="4"/>
    <x v="57"/>
    <n v="7"/>
    <n v="26495"/>
    <n v="6630"/>
    <n v="19865"/>
    <d v="2023-03-01T00:00:00"/>
    <s v="March"/>
    <n v="2023"/>
  </r>
  <r>
    <x v="4"/>
    <x v="3"/>
    <x v="0"/>
    <x v="58"/>
    <n v="12"/>
    <n v="8976"/>
    <n v="5574"/>
    <n v="3402"/>
    <d v="2023-02-01T00:00:00"/>
    <s v="February"/>
    <n v="2023"/>
  </r>
  <r>
    <x v="3"/>
    <x v="2"/>
    <x v="0"/>
    <x v="59"/>
    <n v="350"/>
    <n v="357350"/>
    <n v="314600"/>
    <n v="42750"/>
    <d v="2023-03-01T00:00:00"/>
    <s v="March"/>
    <n v="2023"/>
  </r>
  <r>
    <x v="4"/>
    <x v="3"/>
    <x v="0"/>
    <x v="60"/>
    <n v="7"/>
    <n v="14532"/>
    <n v="12645"/>
    <n v="1887"/>
    <d v="2023-07-01T00:00:00"/>
    <s v="July"/>
    <n v="2023"/>
  </r>
  <r>
    <x v="0"/>
    <x v="0"/>
    <x v="0"/>
    <x v="61"/>
    <n v="12"/>
    <n v="51792"/>
    <n v="4335"/>
    <n v="47457"/>
    <d v="2023-09-01T00:00:00"/>
    <s v="September"/>
    <n v="2023"/>
  </r>
  <r>
    <x v="4"/>
    <x v="3"/>
    <x v="0"/>
    <x v="62"/>
    <n v="125"/>
    <n v="331750"/>
    <n v="39600"/>
    <n v="292150"/>
    <d v="2022-09-01T00:00:00"/>
    <s v="September"/>
    <n v="2022"/>
  </r>
  <r>
    <x v="2"/>
    <x v="1"/>
    <x v="0"/>
    <x v="63"/>
    <n v="12"/>
    <n v="50088"/>
    <n v="8013"/>
    <n v="42075"/>
    <d v="2023-09-01T00:00:00"/>
    <s v="September"/>
    <n v="2023"/>
  </r>
  <r>
    <x v="1"/>
    <x v="0"/>
    <x v="0"/>
    <x v="64"/>
    <n v="12"/>
    <n v="20100"/>
    <n v="2298"/>
    <n v="17802"/>
    <d v="2022-10-01T00:00:00"/>
    <s v="October"/>
    <n v="2022"/>
  </r>
  <r>
    <x v="3"/>
    <x v="2"/>
    <x v="0"/>
    <x v="65"/>
    <n v="300"/>
    <n v="471600"/>
    <n v="123500"/>
    <n v="348100"/>
    <d v="2022-10-01T00:00:00"/>
    <s v="October"/>
    <n v="2022"/>
  </r>
  <r>
    <x v="3"/>
    <x v="2"/>
    <x v="0"/>
    <x v="66"/>
    <n v="350"/>
    <n v="1307600"/>
    <n v="363220"/>
    <n v="944380"/>
    <d v="2023-10-01T00:00:00"/>
    <s v="October"/>
    <n v="2023"/>
  </r>
  <r>
    <x v="2"/>
    <x v="1"/>
    <x v="0"/>
    <x v="67"/>
    <n v="350"/>
    <n v="669900"/>
    <n v="560300"/>
    <n v="109600"/>
    <d v="2023-12-01T00:00:00"/>
    <s v="December"/>
    <n v="2023"/>
  </r>
  <r>
    <x v="3"/>
    <x v="2"/>
    <x v="1"/>
    <x v="68"/>
    <n v="15"/>
    <n v="41130"/>
    <n v="22140"/>
    <n v="18990"/>
    <d v="2023-03-01T00:00:00"/>
    <s v="March"/>
    <n v="2023"/>
  </r>
  <r>
    <x v="4"/>
    <x v="3"/>
    <x v="1"/>
    <x v="69"/>
    <n v="300"/>
    <n v="449700"/>
    <n v="575250"/>
    <n v="-125550"/>
    <d v="2023-04-01T00:00:00"/>
    <s v="April"/>
    <n v="2023"/>
  </r>
  <r>
    <x v="2"/>
    <x v="1"/>
    <x v="1"/>
    <x v="70"/>
    <n v="20"/>
    <n v="75440"/>
    <n v="13755"/>
    <n v="61685"/>
    <d v="2023-07-01T00:00:00"/>
    <s v="July"/>
    <n v="2023"/>
  </r>
  <r>
    <x v="0"/>
    <x v="0"/>
    <x v="1"/>
    <x v="71"/>
    <n v="7"/>
    <n v="7784"/>
    <n v="9150"/>
    <n v="-1366"/>
    <d v="2023-08-01T00:00:00"/>
    <s v="August"/>
    <n v="2023"/>
  </r>
  <r>
    <x v="4"/>
    <x v="3"/>
    <x v="1"/>
    <x v="72"/>
    <n v="300"/>
    <n v="516900"/>
    <n v="624500"/>
    <n v="-107600"/>
    <d v="2022-09-01T00:00:00"/>
    <s v="September"/>
    <n v="2022"/>
  </r>
  <r>
    <x v="4"/>
    <x v="3"/>
    <x v="1"/>
    <x v="73"/>
    <n v="125"/>
    <n v="52875"/>
    <n v="79560"/>
    <n v="-26685"/>
    <d v="2022-10-01T00:00:00"/>
    <s v="October"/>
    <n v="2022"/>
  </r>
  <r>
    <x v="4"/>
    <x v="3"/>
    <x v="2"/>
    <x v="74"/>
    <n v="15"/>
    <n v="35520"/>
    <n v="15140"/>
    <n v="20380"/>
    <d v="2023-02-01T00:00:00"/>
    <s v="February"/>
    <n v="2023"/>
  </r>
  <r>
    <x v="4"/>
    <x v="3"/>
    <x v="2"/>
    <x v="75"/>
    <n v="7"/>
    <n v="11102"/>
    <n v="22462.5"/>
    <n v="-11360.5"/>
    <d v="2023-04-01T00:00:00"/>
    <s v="April"/>
    <n v="2023"/>
  </r>
  <r>
    <x v="4"/>
    <x v="3"/>
    <x v="2"/>
    <x v="76"/>
    <n v="125"/>
    <n v="423250"/>
    <n v="87240"/>
    <n v="336010"/>
    <d v="2023-06-01T00:00:00"/>
    <s v="June"/>
    <n v="2023"/>
  </r>
  <r>
    <x v="2"/>
    <x v="1"/>
    <x v="2"/>
    <x v="77"/>
    <n v="125"/>
    <n v="106500"/>
    <n v="94440"/>
    <n v="12060"/>
    <d v="2023-06-01T00:00:00"/>
    <s v="June"/>
    <n v="2023"/>
  </r>
  <r>
    <x v="3"/>
    <x v="2"/>
    <x v="2"/>
    <x v="78"/>
    <n v="125"/>
    <n v="347875"/>
    <n v="218760"/>
    <n v="129115"/>
    <d v="2023-07-01T00:00:00"/>
    <s v="July"/>
    <n v="2023"/>
  </r>
  <r>
    <x v="1"/>
    <x v="0"/>
    <x v="2"/>
    <x v="79"/>
    <n v="15"/>
    <n v="40260"/>
    <n v="7470"/>
    <n v="32790"/>
    <d v="2023-09-01T00:00:00"/>
    <s v="September"/>
    <n v="2023"/>
  </r>
  <r>
    <x v="1"/>
    <x v="0"/>
    <x v="2"/>
    <x v="80"/>
    <n v="12"/>
    <n v="52716"/>
    <n v="2298"/>
    <n v="50418"/>
    <d v="2022-10-01T00:00:00"/>
    <s v="October"/>
    <n v="2022"/>
  </r>
  <r>
    <x v="4"/>
    <x v="3"/>
    <x v="2"/>
    <x v="81"/>
    <n v="300"/>
    <n v="1224900"/>
    <n v="726250"/>
    <n v="498650"/>
    <d v="2023-11-01T00:00:00"/>
    <s v="November"/>
    <n v="2023"/>
  </r>
  <r>
    <x v="2"/>
    <x v="1"/>
    <x v="2"/>
    <x v="82"/>
    <n v="350"/>
    <n v="985600"/>
    <n v="560300"/>
    <n v="425300"/>
    <d v="2023-12-01T00:00:00"/>
    <s v="December"/>
    <n v="2023"/>
  </r>
  <r>
    <x v="2"/>
    <x v="1"/>
    <x v="3"/>
    <x v="83"/>
    <n v="20"/>
    <n v="85880"/>
    <n v="38640"/>
    <n v="47240"/>
    <d v="2023-04-01T00:00:00"/>
    <s v="April"/>
    <n v="2023"/>
  </r>
  <r>
    <x v="3"/>
    <x v="2"/>
    <x v="3"/>
    <x v="84"/>
    <n v="7"/>
    <n v="19992"/>
    <n v="1810"/>
    <n v="18182"/>
    <d v="2023-05-01T00:00:00"/>
    <s v="May"/>
    <n v="2023"/>
  </r>
  <r>
    <x v="0"/>
    <x v="0"/>
    <x v="3"/>
    <x v="85"/>
    <n v="125"/>
    <n v="175875"/>
    <n v="110760"/>
    <n v="65115"/>
    <d v="2023-08-01T00:00:00"/>
    <s v="August"/>
    <n v="2023"/>
  </r>
  <r>
    <x v="4"/>
    <x v="3"/>
    <x v="3"/>
    <x v="86"/>
    <n v="125"/>
    <n v="481250"/>
    <n v="79560"/>
    <n v="401690"/>
    <d v="2022-10-01T00:00:00"/>
    <s v="October"/>
    <n v="2022"/>
  </r>
  <r>
    <x v="0"/>
    <x v="0"/>
    <x v="3"/>
    <x v="84"/>
    <n v="7"/>
    <n v="19992"/>
    <n v="10460"/>
    <n v="9532"/>
    <d v="2022-11-01T00:00:00"/>
    <s v="November"/>
    <n v="2022"/>
  </r>
  <r>
    <x v="1"/>
    <x v="0"/>
    <x v="4"/>
    <x v="87"/>
    <n v="7"/>
    <n v="8855"/>
    <n v="1315"/>
    <n v="7540"/>
    <d v="2023-03-01T00:00:00"/>
    <s v="March"/>
    <n v="2023"/>
  </r>
  <r>
    <x v="0"/>
    <x v="0"/>
    <x v="4"/>
    <x v="88"/>
    <n v="350"/>
    <n v="1362200"/>
    <n v="245310"/>
    <n v="1116890"/>
    <d v="2023-04-01T00:00:00"/>
    <s v="April"/>
    <n v="2023"/>
  </r>
  <r>
    <x v="4"/>
    <x v="3"/>
    <x v="4"/>
    <x v="89"/>
    <n v="125"/>
    <n v="383500"/>
    <n v="87240"/>
    <n v="296260"/>
    <d v="2023-06-01T00:00:00"/>
    <s v="June"/>
    <n v="2023"/>
  </r>
  <r>
    <x v="2"/>
    <x v="1"/>
    <x v="4"/>
    <x v="90"/>
    <n v="125"/>
    <n v="272625"/>
    <n v="94440"/>
    <n v="178185"/>
    <d v="2023-06-01T00:00:00"/>
    <s v="June"/>
    <n v="2023"/>
  </r>
  <r>
    <x v="1"/>
    <x v="0"/>
    <x v="4"/>
    <x v="91"/>
    <n v="300"/>
    <n v="406800"/>
    <n v="246500"/>
    <n v="160300"/>
    <d v="2023-09-01T00:00:00"/>
    <s v="September"/>
    <n v="2023"/>
  </r>
  <r>
    <x v="3"/>
    <x v="2"/>
    <x v="4"/>
    <x v="92"/>
    <n v="300"/>
    <n v="763500"/>
    <n v="123500"/>
    <n v="640000"/>
    <d v="2022-10-01T00:00:00"/>
    <s v="October"/>
    <n v="2022"/>
  </r>
  <r>
    <x v="3"/>
    <x v="2"/>
    <x v="4"/>
    <x v="93"/>
    <n v="350"/>
    <n v="634900"/>
    <n v="363220"/>
    <n v="271680"/>
    <d v="2023-10-01T00:00:00"/>
    <s v="October"/>
    <n v="2023"/>
  </r>
  <r>
    <x v="2"/>
    <x v="1"/>
    <x v="4"/>
    <x v="94"/>
    <n v="125"/>
    <n v="186875"/>
    <n v="209280"/>
    <n v="-22405"/>
    <d v="2023-11-01T00:00:00"/>
    <s v="November"/>
    <n v="2023"/>
  </r>
  <r>
    <x v="4"/>
    <x v="3"/>
    <x v="5"/>
    <x v="95"/>
    <n v="12"/>
    <n v="13848"/>
    <n v="5967"/>
    <n v="7881"/>
    <d v="2022-09-01T00:00:00"/>
    <s v="September"/>
    <n v="2022"/>
  </r>
  <r>
    <x v="2"/>
    <x v="1"/>
    <x v="5"/>
    <x v="96"/>
    <n v="15"/>
    <n v="62700"/>
    <n v="3210"/>
    <n v="59490"/>
    <d v="2022-11-01T00:00:00"/>
    <s v="November"/>
    <n v="2022"/>
  </r>
  <r>
    <x v="0"/>
    <x v="0"/>
    <x v="0"/>
    <x v="97"/>
    <n v="125"/>
    <n v="182875"/>
    <n v="89100"/>
    <n v="93775"/>
    <d v="2023-04-01T00:00:00"/>
    <s v="April"/>
    <n v="2023"/>
  </r>
  <r>
    <x v="0"/>
    <x v="0"/>
    <x v="0"/>
    <x v="98"/>
    <n v="12"/>
    <n v="2580"/>
    <n v="3885"/>
    <n v="-1305"/>
    <d v="2023-10-01T00:00:00"/>
    <s v="October"/>
    <n v="2023"/>
  </r>
  <r>
    <x v="1"/>
    <x v="0"/>
    <x v="0"/>
    <x v="99"/>
    <n v="300"/>
    <n v="1229700"/>
    <n v="53500"/>
    <n v="1176200"/>
    <d v="2022-10-01T00:00:00"/>
    <s v="October"/>
    <n v="2022"/>
  </r>
  <r>
    <x v="2"/>
    <x v="1"/>
    <x v="0"/>
    <x v="100"/>
    <n v="7"/>
    <n v="18620"/>
    <n v="10725"/>
    <n v="7895"/>
    <d v="2022-11-01T00:00:00"/>
    <s v="November"/>
    <n v="2022"/>
  </r>
  <r>
    <x v="0"/>
    <x v="0"/>
    <x v="0"/>
    <x v="101"/>
    <n v="350"/>
    <n v="198100"/>
    <n v="741520"/>
    <n v="-543420"/>
    <d v="2023-12-01T00:00:00"/>
    <s v="December"/>
    <n v="2023"/>
  </r>
  <r>
    <x v="4"/>
    <x v="3"/>
    <x v="1"/>
    <x v="102"/>
    <n v="12"/>
    <n v="39060"/>
    <n v="3426"/>
    <n v="35634"/>
    <d v="2023-06-01T00:00:00"/>
    <s v="June"/>
    <n v="2023"/>
  </r>
  <r>
    <x v="4"/>
    <x v="3"/>
    <x v="1"/>
    <x v="103"/>
    <n v="20"/>
    <n v="15440"/>
    <n v="15660"/>
    <n v="-220"/>
    <d v="2023-10-01T00:00:00"/>
    <s v="October"/>
    <n v="2023"/>
  </r>
  <r>
    <x v="3"/>
    <x v="2"/>
    <x v="1"/>
    <x v="104"/>
    <n v="12"/>
    <n v="13620"/>
    <n v="2070"/>
    <n v="11550"/>
    <d v="2023-11-01T00:00:00"/>
    <s v="November"/>
    <n v="2023"/>
  </r>
  <r>
    <x v="3"/>
    <x v="2"/>
    <x v="1"/>
    <x v="105"/>
    <n v="125"/>
    <n v="478250"/>
    <n v="199200"/>
    <n v="279050"/>
    <d v="2022-11-01T00:00:00"/>
    <s v="November"/>
    <n v="2022"/>
  </r>
  <r>
    <x v="0"/>
    <x v="0"/>
    <x v="2"/>
    <x v="106"/>
    <n v="15"/>
    <n v="17895"/>
    <n v="23630"/>
    <n v="-5735"/>
    <d v="2023-02-01T00:00:00"/>
    <s v="February"/>
    <n v="2023"/>
  </r>
  <r>
    <x v="2"/>
    <x v="1"/>
    <x v="2"/>
    <x v="14"/>
    <n v="300"/>
    <n v="759000"/>
    <n v="229500"/>
    <n v="529500"/>
    <d v="2023-05-01T00:00:00"/>
    <s v="May"/>
    <n v="2023"/>
  </r>
  <r>
    <x v="1"/>
    <x v="0"/>
    <x v="2"/>
    <x v="107"/>
    <n v="300"/>
    <n v="1035300"/>
    <n v="432000"/>
    <n v="603300"/>
    <d v="2023-05-01T00:00:00"/>
    <s v="May"/>
    <n v="2023"/>
  </r>
  <r>
    <x v="4"/>
    <x v="3"/>
    <x v="2"/>
    <x v="108"/>
    <n v="12"/>
    <n v="36708"/>
    <n v="3426"/>
    <n v="33282"/>
    <d v="2023-06-01T00:00:00"/>
    <s v="June"/>
    <n v="2023"/>
  </r>
  <r>
    <x v="3"/>
    <x v="2"/>
    <x v="2"/>
    <x v="109"/>
    <n v="125"/>
    <n v="494625"/>
    <n v="79440"/>
    <n v="415185"/>
    <d v="2023-06-01T00:00:00"/>
    <s v="June"/>
    <n v="2023"/>
  </r>
  <r>
    <x v="0"/>
    <x v="0"/>
    <x v="2"/>
    <x v="110"/>
    <n v="12"/>
    <n v="41328"/>
    <n v="3885"/>
    <n v="37443"/>
    <d v="2023-10-01T00:00:00"/>
    <s v="October"/>
    <n v="2023"/>
  </r>
  <r>
    <x v="1"/>
    <x v="0"/>
    <x v="2"/>
    <x v="111"/>
    <n v="125"/>
    <n v="548500"/>
    <n v="97080"/>
    <n v="451420"/>
    <d v="2022-10-01T00:00:00"/>
    <s v="October"/>
    <n v="2022"/>
  </r>
  <r>
    <x v="3"/>
    <x v="2"/>
    <x v="2"/>
    <x v="112"/>
    <n v="125"/>
    <n v="263250"/>
    <n v="257400"/>
    <n v="5850"/>
    <d v="2022-10-01T00:00:00"/>
    <s v="October"/>
    <n v="2022"/>
  </r>
  <r>
    <x v="2"/>
    <x v="1"/>
    <x v="2"/>
    <x v="113"/>
    <n v="12"/>
    <n v="9588"/>
    <n v="5355"/>
    <n v="4233"/>
    <d v="2022-11-01T00:00:00"/>
    <s v="November"/>
    <n v="2022"/>
  </r>
  <r>
    <x v="0"/>
    <x v="0"/>
    <x v="2"/>
    <x v="114"/>
    <n v="300"/>
    <n v="946200"/>
    <n v="479000"/>
    <n v="467200"/>
    <d v="2023-12-01T00:00:00"/>
    <s v="December"/>
    <n v="2023"/>
  </r>
  <r>
    <x v="0"/>
    <x v="0"/>
    <x v="2"/>
    <x v="115"/>
    <n v="350"/>
    <n v="1437800"/>
    <n v="741520"/>
    <n v="696280"/>
    <d v="2023-12-01T00:00:00"/>
    <s v="December"/>
    <n v="2023"/>
  </r>
  <r>
    <x v="0"/>
    <x v="0"/>
    <x v="2"/>
    <x v="116"/>
    <n v="125"/>
    <n v="470000"/>
    <n v="327480"/>
    <n v="142520"/>
    <d v="2023-12-01T00:00:00"/>
    <s v="December"/>
    <n v="2023"/>
  </r>
  <r>
    <x v="4"/>
    <x v="3"/>
    <x v="2"/>
    <x v="117"/>
    <n v="15"/>
    <n v="5655"/>
    <n v="19250"/>
    <n v="-13595"/>
    <d v="2022-12-01T00:00:00"/>
    <s v="December"/>
    <n v="2022"/>
  </r>
  <r>
    <x v="4"/>
    <x v="3"/>
    <x v="2"/>
    <x v="118"/>
    <n v="7"/>
    <n v="14770"/>
    <n v="10065"/>
    <n v="4705"/>
    <d v="2022-12-01T00:00:00"/>
    <s v="December"/>
    <n v="2022"/>
  </r>
  <r>
    <x v="2"/>
    <x v="1"/>
    <x v="2"/>
    <x v="119"/>
    <n v="12"/>
    <n v="28008"/>
    <n v="3165"/>
    <n v="24843"/>
    <d v="2023-12-01T00:00:00"/>
    <s v="December"/>
    <n v="2023"/>
  </r>
  <r>
    <x v="3"/>
    <x v="2"/>
    <x v="2"/>
    <x v="120"/>
    <n v="12"/>
    <n v="6960"/>
    <n v="3252"/>
    <n v="3708"/>
    <d v="2023-12-01T00:00:00"/>
    <s v="December"/>
    <n v="2023"/>
  </r>
  <r>
    <x v="4"/>
    <x v="3"/>
    <x v="3"/>
    <x v="121"/>
    <n v="20"/>
    <n v="52200"/>
    <n v="15660"/>
    <n v="36540"/>
    <d v="2023-10-01T00:00:00"/>
    <s v="October"/>
    <n v="2023"/>
  </r>
  <r>
    <x v="1"/>
    <x v="0"/>
    <x v="3"/>
    <x v="122"/>
    <n v="350"/>
    <n v="559300"/>
    <n v="771160"/>
    <n v="-211860"/>
    <d v="2022-10-01T00:00:00"/>
    <s v="October"/>
    <n v="2022"/>
  </r>
  <r>
    <x v="1"/>
    <x v="0"/>
    <x v="3"/>
    <x v="123"/>
    <n v="350"/>
    <n v="510650"/>
    <n v="748020"/>
    <n v="-237370"/>
    <d v="2023-10-01T00:00:00"/>
    <s v="October"/>
    <n v="2023"/>
  </r>
  <r>
    <x v="1"/>
    <x v="0"/>
    <x v="3"/>
    <x v="124"/>
    <n v="125"/>
    <n v="410500"/>
    <n v="97080"/>
    <n v="313420"/>
    <d v="2022-10-01T00:00:00"/>
    <s v="October"/>
    <n v="2022"/>
  </r>
  <r>
    <x v="3"/>
    <x v="2"/>
    <x v="3"/>
    <x v="125"/>
    <n v="125"/>
    <n v="149625"/>
    <n v="257400"/>
    <n v="-107775"/>
    <d v="2022-10-01T00:00:00"/>
    <s v="October"/>
    <n v="2022"/>
  </r>
  <r>
    <x v="2"/>
    <x v="1"/>
    <x v="3"/>
    <x v="126"/>
    <n v="12"/>
    <n v="45288"/>
    <n v="3165"/>
    <n v="42123"/>
    <d v="2023-12-01T00:00:00"/>
    <s v="December"/>
    <n v="2023"/>
  </r>
  <r>
    <x v="3"/>
    <x v="2"/>
    <x v="3"/>
    <x v="127"/>
    <n v="20"/>
    <n v="46060"/>
    <n v="5440"/>
    <n v="40620"/>
    <d v="2022-12-01T00:00:00"/>
    <s v="December"/>
    <n v="2022"/>
  </r>
  <r>
    <x v="3"/>
    <x v="2"/>
    <x v="3"/>
    <x v="128"/>
    <n v="12"/>
    <n v="30864"/>
    <n v="3252"/>
    <n v="27612"/>
    <d v="2023-12-01T00:00:00"/>
    <s v="December"/>
    <n v="2023"/>
  </r>
  <r>
    <x v="3"/>
    <x v="2"/>
    <x v="4"/>
    <x v="129"/>
    <n v="125"/>
    <n v="40000"/>
    <n v="79440"/>
    <n v="-39440"/>
    <d v="2023-06-01T00:00:00"/>
    <s v="June"/>
    <n v="2023"/>
  </r>
  <r>
    <x v="1"/>
    <x v="0"/>
    <x v="4"/>
    <x v="130"/>
    <n v="300"/>
    <n v="637800"/>
    <n v="53500"/>
    <n v="584300"/>
    <d v="2022-10-01T00:00:00"/>
    <s v="October"/>
    <n v="2022"/>
  </r>
  <r>
    <x v="1"/>
    <x v="0"/>
    <x v="4"/>
    <x v="131"/>
    <n v="350"/>
    <n v="1146250"/>
    <n v="748020"/>
    <n v="398230"/>
    <d v="2023-10-01T00:00:00"/>
    <s v="October"/>
    <n v="2023"/>
  </r>
  <r>
    <x v="0"/>
    <x v="0"/>
    <x v="4"/>
    <x v="132"/>
    <n v="125"/>
    <n v="447750"/>
    <n v="327480"/>
    <n v="120270"/>
    <d v="2023-12-01T00:00:00"/>
    <s v="December"/>
    <n v="2023"/>
  </r>
  <r>
    <x v="4"/>
    <x v="3"/>
    <x v="4"/>
    <x v="133"/>
    <n v="350"/>
    <n v="274050"/>
    <n v="69160"/>
    <n v="204890"/>
    <d v="2022-12-01T00:00:00"/>
    <s v="December"/>
    <n v="2022"/>
  </r>
  <r>
    <x v="3"/>
    <x v="2"/>
    <x v="4"/>
    <x v="134"/>
    <n v="350"/>
    <n v="420700"/>
    <n v="504400"/>
    <n v="-83700"/>
    <d v="2022-12-01T00:00:00"/>
    <s v="December"/>
    <n v="2022"/>
  </r>
  <r>
    <x v="1"/>
    <x v="0"/>
    <x v="5"/>
    <x v="135"/>
    <n v="300"/>
    <n v="1216800"/>
    <n v="64750"/>
    <n v="1152050"/>
    <d v="2023-03-01T00:00:00"/>
    <s v="March"/>
    <n v="2023"/>
  </r>
  <r>
    <x v="3"/>
    <x v="2"/>
    <x v="5"/>
    <x v="136"/>
    <n v="300"/>
    <n v="643200"/>
    <n v="275250"/>
    <n v="367950"/>
    <d v="2023-03-01T00:00:00"/>
    <s v="March"/>
    <n v="2023"/>
  </r>
  <r>
    <x v="1"/>
    <x v="0"/>
    <x v="5"/>
    <x v="137"/>
    <n v="125"/>
    <n v="437750"/>
    <n v="273120"/>
    <n v="164630"/>
    <d v="2023-05-01T00:00:00"/>
    <s v="May"/>
    <n v="2023"/>
  </r>
  <r>
    <x v="1"/>
    <x v="0"/>
    <x v="5"/>
    <x v="138"/>
    <n v="350"/>
    <n v="488950"/>
    <n v="771160"/>
    <n v="-282210"/>
    <d v="2022-10-01T00:00:00"/>
    <s v="October"/>
    <n v="2022"/>
  </r>
  <r>
    <x v="4"/>
    <x v="3"/>
    <x v="5"/>
    <x v="139"/>
    <n v="20"/>
    <n v="13580"/>
    <n v="12360"/>
    <n v="1220"/>
    <d v="2023-11-01T00:00:00"/>
    <s v="November"/>
    <n v="2023"/>
  </r>
  <r>
    <x v="2"/>
    <x v="1"/>
    <x v="5"/>
    <x v="140"/>
    <n v="20"/>
    <n v="47020"/>
    <n v="9410"/>
    <n v="37610"/>
    <d v="2023-11-01T00:00:00"/>
    <s v="November"/>
    <n v="2023"/>
  </r>
  <r>
    <x v="0"/>
    <x v="0"/>
    <x v="5"/>
    <x v="141"/>
    <n v="300"/>
    <n v="612900"/>
    <n v="479000"/>
    <n v="133900"/>
    <d v="2023-12-01T00:00:00"/>
    <s v="December"/>
    <n v="2023"/>
  </r>
  <r>
    <x v="2"/>
    <x v="1"/>
    <x v="0"/>
    <x v="142"/>
    <n v="125"/>
    <n v="445625"/>
    <n v="509220"/>
    <n v="-63595"/>
    <d v="2023-04-01T00:00:00"/>
    <s v="April"/>
    <n v="2023"/>
  </r>
  <r>
    <x v="1"/>
    <x v="0"/>
    <x v="0"/>
    <x v="143"/>
    <n v="20"/>
    <n v="28020"/>
    <n v="25800"/>
    <n v="2220"/>
    <d v="2023-04-01T00:00:00"/>
    <s v="April"/>
    <n v="2023"/>
  </r>
  <r>
    <x v="1"/>
    <x v="0"/>
    <x v="0"/>
    <x v="144"/>
    <n v="300"/>
    <n v="623100"/>
    <n v="172250"/>
    <n v="450850"/>
    <d v="2023-06-01T00:00:00"/>
    <s v="June"/>
    <n v="2023"/>
  </r>
  <r>
    <x v="4"/>
    <x v="3"/>
    <x v="0"/>
    <x v="145"/>
    <n v="12"/>
    <n v="43716"/>
    <n v="5841"/>
    <n v="37875"/>
    <d v="2023-09-01T00:00:00"/>
    <s v="September"/>
    <n v="2023"/>
  </r>
  <r>
    <x v="0"/>
    <x v="0"/>
    <x v="0"/>
    <x v="146"/>
    <n v="12"/>
    <n v="13260"/>
    <n v="2724"/>
    <n v="10536"/>
    <d v="2022-12-01T00:00:00"/>
    <s v="December"/>
    <n v="2022"/>
  </r>
  <r>
    <x v="1"/>
    <x v="0"/>
    <x v="1"/>
    <x v="147"/>
    <n v="7"/>
    <n v="20720"/>
    <n v="9790"/>
    <n v="10930"/>
    <d v="2023-02-01T00:00:00"/>
    <s v="February"/>
    <n v="2023"/>
  </r>
  <r>
    <x v="2"/>
    <x v="1"/>
    <x v="1"/>
    <x v="148"/>
    <n v="12"/>
    <n v="14412"/>
    <n v="5703"/>
    <n v="8709"/>
    <d v="2023-06-01T00:00:00"/>
    <s v="June"/>
    <n v="2023"/>
  </r>
  <r>
    <x v="2"/>
    <x v="1"/>
    <x v="1"/>
    <x v="149"/>
    <n v="7"/>
    <n v="16247"/>
    <n v="2720"/>
    <n v="13527"/>
    <d v="2023-09-01T00:00:00"/>
    <s v="September"/>
    <n v="2023"/>
  </r>
  <r>
    <x v="1"/>
    <x v="0"/>
    <x v="1"/>
    <x v="150"/>
    <n v="350"/>
    <n v="1274000"/>
    <n v="467220"/>
    <n v="806780"/>
    <d v="2022-09-01T00:00:00"/>
    <s v="September"/>
    <n v="2022"/>
  </r>
  <r>
    <x v="2"/>
    <x v="1"/>
    <x v="1"/>
    <x v="151"/>
    <n v="125"/>
    <n v="496500"/>
    <n v="154440"/>
    <n v="342060"/>
    <d v="2023-12-01T00:00:00"/>
    <s v="December"/>
    <n v="2023"/>
  </r>
  <r>
    <x v="1"/>
    <x v="0"/>
    <x v="1"/>
    <x v="152"/>
    <n v="125"/>
    <n v="484750"/>
    <n v="204720"/>
    <n v="280030"/>
    <d v="2023-12-01T00:00:00"/>
    <s v="December"/>
    <n v="2023"/>
  </r>
  <r>
    <x v="2"/>
    <x v="1"/>
    <x v="2"/>
    <x v="153"/>
    <n v="300"/>
    <n v="683400"/>
    <n v="608625"/>
    <n v="74775"/>
    <d v="2023-01-01T00:00:00"/>
    <s v="January"/>
    <n v="2023"/>
  </r>
  <r>
    <x v="0"/>
    <x v="0"/>
    <x v="2"/>
    <x v="154"/>
    <n v="125"/>
    <n v="134375"/>
    <n v="212880"/>
    <n v="-78505"/>
    <d v="2023-03-01T00:00:00"/>
    <s v="March"/>
    <n v="2023"/>
  </r>
  <r>
    <x v="2"/>
    <x v="1"/>
    <x v="2"/>
    <x v="155"/>
    <n v="12"/>
    <n v="48600"/>
    <n v="5703"/>
    <n v="42897"/>
    <d v="2023-06-01T00:00:00"/>
    <s v="June"/>
    <n v="2023"/>
  </r>
  <r>
    <x v="1"/>
    <x v="0"/>
    <x v="2"/>
    <x v="156"/>
    <n v="300"/>
    <n v="910500"/>
    <n v="172250"/>
    <n v="738250"/>
    <d v="2023-06-01T00:00:00"/>
    <s v="June"/>
    <n v="2023"/>
  </r>
  <r>
    <x v="1"/>
    <x v="0"/>
    <x v="2"/>
    <x v="157"/>
    <n v="125"/>
    <n v="454500"/>
    <n v="188400"/>
    <n v="266100"/>
    <d v="2023-06-01T00:00:00"/>
    <s v="June"/>
    <n v="2023"/>
  </r>
  <r>
    <x v="4"/>
    <x v="3"/>
    <x v="2"/>
    <x v="158"/>
    <n v="12"/>
    <n v="16548"/>
    <n v="4108.5"/>
    <n v="12439.5"/>
    <d v="2023-07-01T00:00:00"/>
    <s v="July"/>
    <n v="2023"/>
  </r>
  <r>
    <x v="0"/>
    <x v="0"/>
    <x v="2"/>
    <x v="159"/>
    <n v="125"/>
    <n v="561500"/>
    <n v="241080"/>
    <n v="320420"/>
    <d v="2023-10-01T00:00:00"/>
    <s v="October"/>
    <n v="2023"/>
  </r>
  <r>
    <x v="1"/>
    <x v="0"/>
    <x v="2"/>
    <x v="160"/>
    <n v="15"/>
    <n v="11460"/>
    <n v="19450"/>
    <n v="-7990"/>
    <d v="2022-10-01T00:00:00"/>
    <s v="October"/>
    <n v="2022"/>
  </r>
  <r>
    <x v="2"/>
    <x v="1"/>
    <x v="2"/>
    <x v="161"/>
    <n v="125"/>
    <n v="218000"/>
    <n v="154440"/>
    <n v="63560"/>
    <d v="2023-12-01T00:00:00"/>
    <s v="December"/>
    <n v="2023"/>
  </r>
  <r>
    <x v="1"/>
    <x v="0"/>
    <x v="2"/>
    <x v="162"/>
    <n v="125"/>
    <n v="292625"/>
    <n v="204720"/>
    <n v="87905"/>
    <d v="2023-12-01T00:00:00"/>
    <s v="December"/>
    <n v="2023"/>
  </r>
  <r>
    <x v="0"/>
    <x v="0"/>
    <x v="3"/>
    <x v="163"/>
    <n v="125"/>
    <n v="479375"/>
    <n v="241080"/>
    <n v="238295"/>
    <d v="2023-10-01T00:00:00"/>
    <s v="October"/>
    <n v="2023"/>
  </r>
  <r>
    <x v="4"/>
    <x v="3"/>
    <x v="4"/>
    <x v="164"/>
    <n v="300"/>
    <n v="348300"/>
    <n v="711000"/>
    <n v="-362700"/>
    <d v="2023-02-01T00:00:00"/>
    <s v="February"/>
    <n v="2023"/>
  </r>
  <r>
    <x v="3"/>
    <x v="2"/>
    <x v="4"/>
    <x v="165"/>
    <n v="12"/>
    <n v="10512"/>
    <n v="5748"/>
    <n v="4764"/>
    <d v="2023-04-01T00:00:00"/>
    <s v="April"/>
    <n v="2023"/>
  </r>
  <r>
    <x v="1"/>
    <x v="0"/>
    <x v="4"/>
    <x v="166"/>
    <n v="125"/>
    <n v="213125"/>
    <n v="188400"/>
    <n v="24725"/>
    <d v="2023-06-01T00:00:00"/>
    <s v="June"/>
    <n v="2023"/>
  </r>
  <r>
    <x v="0"/>
    <x v="0"/>
    <x v="4"/>
    <x v="167"/>
    <n v="300"/>
    <n v="541500"/>
    <n v="468500"/>
    <n v="73000"/>
    <d v="2023-08-01T00:00:00"/>
    <s v="August"/>
    <n v="2023"/>
  </r>
  <r>
    <x v="3"/>
    <x v="2"/>
    <x v="4"/>
    <x v="168"/>
    <n v="350"/>
    <n v="136150"/>
    <n v="426920"/>
    <n v="-290770"/>
    <d v="2023-08-01T00:00:00"/>
    <s v="August"/>
    <n v="2023"/>
  </r>
  <r>
    <x v="1"/>
    <x v="0"/>
    <x v="4"/>
    <x v="169"/>
    <n v="15"/>
    <n v="41175"/>
    <n v="19450"/>
    <n v="21725"/>
    <d v="2022-10-01T00:00:00"/>
    <s v="October"/>
    <n v="2022"/>
  </r>
  <r>
    <x v="0"/>
    <x v="0"/>
    <x v="0"/>
    <x v="123"/>
    <n v="20"/>
    <n v="29180"/>
    <n v="8310"/>
    <n v="20870"/>
    <d v="2023-05-01T00:00:00"/>
    <s v="May"/>
    <n v="2023"/>
  </r>
  <r>
    <x v="3"/>
    <x v="2"/>
    <x v="2"/>
    <x v="170"/>
    <n v="7"/>
    <n v="27566"/>
    <n v="8800"/>
    <n v="18766"/>
    <d v="2022-09-01T00:00:00"/>
    <s v="September"/>
    <n v="2022"/>
  </r>
  <r>
    <x v="0"/>
    <x v="0"/>
    <x v="3"/>
    <x v="171"/>
    <n v="20"/>
    <n v="84720"/>
    <n v="38505"/>
    <n v="46215"/>
    <d v="2023-04-01T00:00:00"/>
    <s v="April"/>
    <n v="2023"/>
  </r>
  <r>
    <x v="1"/>
    <x v="0"/>
    <x v="4"/>
    <x v="172"/>
    <n v="12"/>
    <n v="43524"/>
    <n v="7437"/>
    <n v="36087"/>
    <d v="2023-01-01T00:00:00"/>
    <s v="January"/>
    <n v="2023"/>
  </r>
  <r>
    <x v="3"/>
    <x v="2"/>
    <x v="1"/>
    <x v="173"/>
    <n v="15"/>
    <n v="26340"/>
    <n v="20310"/>
    <n v="6030"/>
    <d v="2023-10-01T00:00:00"/>
    <s v="October"/>
    <n v="2023"/>
  </r>
  <r>
    <x v="3"/>
    <x v="2"/>
    <x v="2"/>
    <x v="174"/>
    <n v="15"/>
    <n v="4605"/>
    <n v="20310"/>
    <n v="-15705"/>
    <d v="2023-10-01T00:00:00"/>
    <s v="October"/>
    <n v="2023"/>
  </r>
  <r>
    <x v="2"/>
    <x v="1"/>
    <x v="2"/>
    <x v="175"/>
    <n v="15"/>
    <n v="67335"/>
    <n v="22610"/>
    <n v="44725"/>
    <d v="2022-12-01T00:00:00"/>
    <s v="December"/>
    <n v="2022"/>
  </r>
  <r>
    <x v="4"/>
    <x v="3"/>
    <x v="3"/>
    <x v="176"/>
    <n v="20"/>
    <n v="43340"/>
    <n v="7360"/>
    <n v="35980"/>
    <d v="2022-09-01T00:00:00"/>
    <s v="September"/>
    <n v="2022"/>
  </r>
  <r>
    <x v="0"/>
    <x v="0"/>
    <x v="0"/>
    <x v="177"/>
    <n v="7"/>
    <n v="7959"/>
    <n v="14255"/>
    <n v="-6296"/>
    <d v="2022-10-01T00:00:00"/>
    <s v="October"/>
    <n v="2022"/>
  </r>
  <r>
    <x v="1"/>
    <x v="0"/>
    <x v="0"/>
    <x v="178"/>
    <n v="300"/>
    <n v="366600"/>
    <n v="505250"/>
    <n v="-138650"/>
    <d v="2023-10-01T00:00:00"/>
    <s v="October"/>
    <n v="2023"/>
  </r>
  <r>
    <x v="4"/>
    <x v="3"/>
    <x v="0"/>
    <x v="179"/>
    <n v="350"/>
    <n v="171150"/>
    <n v="71240"/>
    <n v="99910"/>
    <d v="2023-12-01T00:00:00"/>
    <s v="December"/>
    <n v="2023"/>
  </r>
  <r>
    <x v="0"/>
    <x v="0"/>
    <x v="1"/>
    <x v="180"/>
    <n v="15"/>
    <n v="61995"/>
    <n v="19670"/>
    <n v="42325"/>
    <d v="2023-03-01T00:00:00"/>
    <s v="March"/>
    <n v="2023"/>
  </r>
  <r>
    <x v="1"/>
    <x v="0"/>
    <x v="1"/>
    <x v="181"/>
    <n v="300"/>
    <n v="822900"/>
    <n v="464750"/>
    <n v="358150"/>
    <d v="2023-08-01T00:00:00"/>
    <s v="August"/>
    <n v="2023"/>
  </r>
  <r>
    <x v="0"/>
    <x v="0"/>
    <x v="1"/>
    <x v="182"/>
    <n v="7"/>
    <n v="25893"/>
    <n v="14255"/>
    <n v="11638"/>
    <d v="2022-10-01T00:00:00"/>
    <s v="October"/>
    <n v="2022"/>
  </r>
  <r>
    <x v="1"/>
    <x v="0"/>
    <x v="1"/>
    <x v="183"/>
    <n v="300"/>
    <n v="1338000"/>
    <n v="505250"/>
    <n v="832750"/>
    <d v="2023-10-01T00:00:00"/>
    <s v="October"/>
    <n v="2023"/>
  </r>
  <r>
    <x v="3"/>
    <x v="2"/>
    <x v="1"/>
    <x v="184"/>
    <n v="125"/>
    <n v="154000"/>
    <n v="136560"/>
    <n v="17440"/>
    <d v="2023-12-01T00:00:00"/>
    <s v="December"/>
    <n v="2023"/>
  </r>
  <r>
    <x v="0"/>
    <x v="0"/>
    <x v="2"/>
    <x v="185"/>
    <n v="7"/>
    <n v="18102"/>
    <n v="21255"/>
    <n v="-3153"/>
    <d v="2023-01-01T00:00:00"/>
    <s v="January"/>
    <n v="2023"/>
  </r>
  <r>
    <x v="1"/>
    <x v="0"/>
    <x v="2"/>
    <x v="186"/>
    <n v="125"/>
    <n v="166500"/>
    <n v="95400"/>
    <n v="71100"/>
    <d v="2023-03-01T00:00:00"/>
    <s v="March"/>
    <n v="2023"/>
  </r>
  <r>
    <x v="1"/>
    <x v="0"/>
    <x v="2"/>
    <x v="187"/>
    <n v="300"/>
    <n v="1346100"/>
    <n v="353625"/>
    <n v="992475"/>
    <d v="2023-04-01T00:00:00"/>
    <s v="April"/>
    <n v="2023"/>
  </r>
  <r>
    <x v="4"/>
    <x v="3"/>
    <x v="2"/>
    <x v="188"/>
    <n v="300"/>
    <n v="1158600"/>
    <n v="729500"/>
    <n v="429100"/>
    <d v="2023-05-01T00:00:00"/>
    <s v="May"/>
    <n v="2023"/>
  </r>
  <r>
    <x v="4"/>
    <x v="3"/>
    <x v="2"/>
    <x v="189"/>
    <n v="350"/>
    <n v="617750"/>
    <n v="897000"/>
    <n v="-279250"/>
    <d v="2023-07-01T00:00:00"/>
    <s v="July"/>
    <n v="2023"/>
  </r>
  <r>
    <x v="2"/>
    <x v="1"/>
    <x v="2"/>
    <x v="190"/>
    <n v="125"/>
    <n v="441625"/>
    <n v="358560"/>
    <n v="83065"/>
    <d v="2023-07-01T00:00:00"/>
    <s v="July"/>
    <n v="2023"/>
  </r>
  <r>
    <x v="0"/>
    <x v="0"/>
    <x v="2"/>
    <x v="191"/>
    <n v="15"/>
    <n v="30240"/>
    <n v="2180"/>
    <n v="28060"/>
    <d v="2023-09-01T00:00:00"/>
    <s v="September"/>
    <n v="2023"/>
  </r>
  <r>
    <x v="0"/>
    <x v="0"/>
    <x v="2"/>
    <x v="192"/>
    <n v="20"/>
    <n v="58760"/>
    <n v="20740"/>
    <n v="38020"/>
    <d v="2023-09-01T00:00:00"/>
    <s v="September"/>
    <n v="2023"/>
  </r>
  <r>
    <x v="4"/>
    <x v="3"/>
    <x v="2"/>
    <x v="193"/>
    <n v="20"/>
    <n v="67040"/>
    <n v="10560"/>
    <n v="56480"/>
    <d v="2023-09-01T00:00:00"/>
    <s v="September"/>
    <n v="2023"/>
  </r>
  <r>
    <x v="4"/>
    <x v="3"/>
    <x v="2"/>
    <x v="194"/>
    <n v="15"/>
    <n v="66135"/>
    <n v="6710"/>
    <n v="59425"/>
    <d v="2022-10-01T00:00:00"/>
    <s v="October"/>
    <n v="2022"/>
  </r>
  <r>
    <x v="3"/>
    <x v="2"/>
    <x v="2"/>
    <x v="195"/>
    <n v="15"/>
    <n v="49845"/>
    <n v="15140"/>
    <n v="34705"/>
    <d v="2022-10-01T00:00:00"/>
    <s v="October"/>
    <n v="2022"/>
  </r>
  <r>
    <x v="4"/>
    <x v="3"/>
    <x v="2"/>
    <x v="196"/>
    <n v="350"/>
    <n v="850500"/>
    <n v="71240"/>
    <n v="779260"/>
    <d v="2023-12-01T00:00:00"/>
    <s v="December"/>
    <n v="2023"/>
  </r>
  <r>
    <x v="3"/>
    <x v="2"/>
    <x v="2"/>
    <x v="197"/>
    <n v="125"/>
    <n v="66875"/>
    <n v="136560"/>
    <n v="-69685"/>
    <d v="2023-12-01T00:00:00"/>
    <s v="December"/>
    <n v="2023"/>
  </r>
  <r>
    <x v="4"/>
    <x v="3"/>
    <x v="3"/>
    <x v="198"/>
    <n v="12"/>
    <n v="18276"/>
    <n v="4395"/>
    <n v="13881"/>
    <d v="2023-03-01T00:00:00"/>
    <s v="March"/>
    <n v="2023"/>
  </r>
  <r>
    <x v="0"/>
    <x v="0"/>
    <x v="3"/>
    <x v="199"/>
    <n v="20"/>
    <n v="72620"/>
    <n v="26460"/>
    <n v="46160"/>
    <d v="2022-09-01T00:00:00"/>
    <s v="September"/>
    <n v="2022"/>
  </r>
  <r>
    <x v="2"/>
    <x v="1"/>
    <x v="3"/>
    <x v="200"/>
    <n v="350"/>
    <n v="623700"/>
    <n v="566020"/>
    <n v="57680"/>
    <d v="2023-10-01T00:00:00"/>
    <s v="October"/>
    <n v="2023"/>
  </r>
  <r>
    <x v="2"/>
    <x v="1"/>
    <x v="4"/>
    <x v="201"/>
    <n v="12"/>
    <n v="4164"/>
    <n v="2598"/>
    <n v="1566"/>
    <d v="2023-05-01T00:00:00"/>
    <s v="May"/>
    <n v="2023"/>
  </r>
  <r>
    <x v="4"/>
    <x v="3"/>
    <x v="4"/>
    <x v="202"/>
    <n v="350"/>
    <n v="1451450"/>
    <n v="90740"/>
    <n v="1360710"/>
    <d v="2022-09-01T00:00:00"/>
    <s v="September"/>
    <n v="2022"/>
  </r>
  <r>
    <x v="2"/>
    <x v="1"/>
    <x v="4"/>
    <x v="203"/>
    <n v="350"/>
    <n v="1228150"/>
    <n v="566020"/>
    <n v="662130"/>
    <d v="2023-10-01T00:00:00"/>
    <s v="October"/>
    <n v="2023"/>
  </r>
  <r>
    <x v="3"/>
    <x v="2"/>
    <x v="4"/>
    <x v="204"/>
    <n v="15"/>
    <n v="41610"/>
    <n v="15140"/>
    <n v="26470"/>
    <d v="2022-10-01T00:00:00"/>
    <s v="October"/>
    <n v="2022"/>
  </r>
  <r>
    <x v="3"/>
    <x v="2"/>
    <x v="5"/>
    <x v="205"/>
    <n v="350"/>
    <n v="1030050"/>
    <n v="484900"/>
    <n v="545150"/>
    <d v="2023-02-01T00:00:00"/>
    <s v="February"/>
    <n v="2023"/>
  </r>
  <r>
    <x v="3"/>
    <x v="2"/>
    <x v="5"/>
    <x v="206"/>
    <n v="125"/>
    <n v="504625"/>
    <n v="128880"/>
    <n v="375745"/>
    <d v="2023-04-01T00:00:00"/>
    <s v="April"/>
    <n v="2023"/>
  </r>
  <r>
    <x v="1"/>
    <x v="0"/>
    <x v="5"/>
    <x v="207"/>
    <n v="350"/>
    <n v="1451100"/>
    <n v="495820"/>
    <n v="955280"/>
    <d v="2023-09-01T00:00:00"/>
    <s v="September"/>
    <n v="2023"/>
  </r>
  <r>
    <x v="4"/>
    <x v="3"/>
    <x v="5"/>
    <x v="208"/>
    <n v="15"/>
    <n v="61845"/>
    <n v="6710"/>
    <n v="55135"/>
    <d v="2022-10-01T00:00:00"/>
    <s v="October"/>
    <n v="2022"/>
  </r>
  <r>
    <x v="0"/>
    <x v="0"/>
    <x v="5"/>
    <x v="209"/>
    <n v="350"/>
    <n v="467950"/>
    <n v="462280"/>
    <n v="5670"/>
    <d v="2022-12-01T00:00:00"/>
    <s v="December"/>
    <n v="2022"/>
  </r>
  <r>
    <x v="1"/>
    <x v="0"/>
    <x v="1"/>
    <x v="210"/>
    <n v="7"/>
    <n v="4193"/>
    <n v="5795"/>
    <n v="-1602"/>
    <d v="2022-10-01T00:00:00"/>
    <s v="October"/>
    <n v="2022"/>
  </r>
  <r>
    <x v="1"/>
    <x v="0"/>
    <x v="2"/>
    <x v="211"/>
    <n v="7"/>
    <n v="5075"/>
    <n v="6860"/>
    <n v="-1785"/>
    <d v="2023-01-01T00:00:00"/>
    <s v="January"/>
    <n v="2023"/>
  </r>
  <r>
    <x v="0"/>
    <x v="0"/>
    <x v="2"/>
    <x v="212"/>
    <n v="7"/>
    <n v="3339"/>
    <n v="11745"/>
    <n v="-8406"/>
    <d v="2022-09-01T00:00:00"/>
    <s v="September"/>
    <n v="2022"/>
  </r>
  <r>
    <x v="3"/>
    <x v="2"/>
    <x v="2"/>
    <x v="213"/>
    <n v="7"/>
    <n v="16275"/>
    <n v="13445"/>
    <n v="2830"/>
    <d v="2023-10-01T00:00:00"/>
    <s v="October"/>
    <n v="2023"/>
  </r>
  <r>
    <x v="0"/>
    <x v="0"/>
    <x v="2"/>
    <x v="214"/>
    <n v="12"/>
    <n v="8100"/>
    <n v="7293"/>
    <n v="807"/>
    <d v="2023-12-01T00:00:00"/>
    <s v="December"/>
    <n v="2023"/>
  </r>
  <r>
    <x v="0"/>
    <x v="0"/>
    <x v="3"/>
    <x v="215"/>
    <n v="12"/>
    <n v="35880"/>
    <n v="7293"/>
    <n v="28587"/>
    <d v="2023-12-01T00:00:00"/>
    <s v="December"/>
    <n v="2023"/>
  </r>
  <r>
    <x v="3"/>
    <x v="2"/>
    <x v="4"/>
    <x v="216"/>
    <n v="7"/>
    <n v="7504"/>
    <n v="13445"/>
    <n v="-5941"/>
    <d v="2023-10-01T00:00:00"/>
    <s v="October"/>
    <n v="2023"/>
  </r>
  <r>
    <x v="3"/>
    <x v="2"/>
    <x v="5"/>
    <x v="217"/>
    <n v="7"/>
    <n v="7336"/>
    <n v="8415"/>
    <n v="-1079"/>
    <d v="2023-07-01T00:00:00"/>
    <s v="July"/>
    <n v="2023"/>
  </r>
  <r>
    <x v="3"/>
    <x v="2"/>
    <x v="5"/>
    <x v="218"/>
    <n v="12"/>
    <n v="5628"/>
    <n v="3369"/>
    <n v="2259"/>
    <d v="2023-08-01T00:00:00"/>
    <s v="August"/>
    <n v="2023"/>
  </r>
  <r>
    <x v="1"/>
    <x v="0"/>
    <x v="5"/>
    <x v="219"/>
    <n v="7"/>
    <n v="5628"/>
    <n v="5795"/>
    <n v="-167"/>
    <d v="2022-10-01T00:00:00"/>
    <s v="October"/>
    <n v="2022"/>
  </r>
  <r>
    <x v="2"/>
    <x v="1"/>
    <x v="0"/>
    <x v="220"/>
    <n v="12"/>
    <n v="50880"/>
    <n v="5595"/>
    <n v="45285"/>
    <d v="2023-02-01T00:00:00"/>
    <s v="February"/>
    <n v="2023"/>
  </r>
  <r>
    <x v="1"/>
    <x v="0"/>
    <x v="0"/>
    <x v="221"/>
    <n v="12"/>
    <n v="23712"/>
    <n v="3348"/>
    <n v="20364"/>
    <d v="2023-02-01T00:00:00"/>
    <s v="February"/>
    <n v="2023"/>
  </r>
  <r>
    <x v="2"/>
    <x v="1"/>
    <x v="0"/>
    <x v="222"/>
    <n v="20"/>
    <n v="39680"/>
    <n v="15630"/>
    <n v="24050"/>
    <d v="2023-05-01T00:00:00"/>
    <s v="May"/>
    <n v="2023"/>
  </r>
  <r>
    <x v="4"/>
    <x v="3"/>
    <x v="0"/>
    <x v="223"/>
    <n v="300"/>
    <n v="144000"/>
    <n v="247750"/>
    <n v="-103750"/>
    <d v="2023-06-01T00:00:00"/>
    <s v="June"/>
    <n v="2023"/>
  </r>
  <r>
    <x v="1"/>
    <x v="0"/>
    <x v="0"/>
    <x v="224"/>
    <n v="7"/>
    <n v="24857"/>
    <n v="5080"/>
    <n v="19777"/>
    <d v="2022-11-01T00:00:00"/>
    <s v="November"/>
    <n v="2022"/>
  </r>
  <r>
    <x v="3"/>
    <x v="2"/>
    <x v="0"/>
    <x v="225"/>
    <n v="15"/>
    <n v="18075"/>
    <n v="27910"/>
    <n v="-9835"/>
    <d v="2023-11-01T00:00:00"/>
    <s v="November"/>
    <n v="2023"/>
  </r>
  <r>
    <x v="4"/>
    <x v="3"/>
    <x v="0"/>
    <x v="226"/>
    <n v="7"/>
    <n v="17360"/>
    <n v="2850"/>
    <n v="14510"/>
    <d v="2023-12-01T00:00:00"/>
    <s v="December"/>
    <n v="2023"/>
  </r>
  <r>
    <x v="2"/>
    <x v="1"/>
    <x v="0"/>
    <x v="227"/>
    <n v="7"/>
    <n v="20482"/>
    <n v="12435"/>
    <n v="8047"/>
    <d v="2023-12-01T00:00:00"/>
    <s v="December"/>
    <n v="2023"/>
  </r>
  <r>
    <x v="2"/>
    <x v="1"/>
    <x v="1"/>
    <x v="228"/>
    <n v="350"/>
    <n v="1123500"/>
    <n v="359970"/>
    <n v="763530"/>
    <d v="2023-01-01T00:00:00"/>
    <s v="January"/>
    <n v="2023"/>
  </r>
  <r>
    <x v="4"/>
    <x v="3"/>
    <x v="1"/>
    <x v="229"/>
    <n v="125"/>
    <n v="402625"/>
    <n v="435240"/>
    <n v="-32615"/>
    <d v="2023-07-01T00:00:00"/>
    <s v="July"/>
    <n v="2023"/>
  </r>
  <r>
    <x v="3"/>
    <x v="2"/>
    <x v="1"/>
    <x v="230"/>
    <n v="350"/>
    <n v="836150"/>
    <n v="187200"/>
    <n v="648950"/>
    <d v="2022-09-01T00:00:00"/>
    <s v="September"/>
    <n v="2022"/>
  </r>
  <r>
    <x v="1"/>
    <x v="0"/>
    <x v="1"/>
    <x v="48"/>
    <n v="12"/>
    <n v="13524"/>
    <n v="7026"/>
    <n v="6498"/>
    <d v="2023-11-01T00:00:00"/>
    <s v="November"/>
    <n v="2023"/>
  </r>
  <r>
    <x v="3"/>
    <x v="2"/>
    <x v="1"/>
    <x v="231"/>
    <n v="300"/>
    <n v="95700"/>
    <n v="275000"/>
    <n v="-179300"/>
    <d v="2022-12-01T00:00:00"/>
    <s v="December"/>
    <n v="2022"/>
  </r>
  <r>
    <x v="2"/>
    <x v="1"/>
    <x v="2"/>
    <x v="232"/>
    <n v="20"/>
    <n v="32200"/>
    <n v="13030"/>
    <n v="19170"/>
    <d v="2023-02-01T00:00:00"/>
    <s v="February"/>
    <n v="2023"/>
  </r>
  <r>
    <x v="4"/>
    <x v="3"/>
    <x v="2"/>
    <x v="233"/>
    <n v="125"/>
    <n v="512500"/>
    <n v="359040"/>
    <n v="153460"/>
    <d v="2023-03-01T00:00:00"/>
    <s v="March"/>
    <n v="2023"/>
  </r>
  <r>
    <x v="2"/>
    <x v="1"/>
    <x v="2"/>
    <x v="234"/>
    <n v="125"/>
    <n v="126500"/>
    <n v="286200"/>
    <n v="-159700"/>
    <d v="2023-03-01T00:00:00"/>
    <s v="March"/>
    <n v="2023"/>
  </r>
  <r>
    <x v="3"/>
    <x v="2"/>
    <x v="2"/>
    <x v="235"/>
    <n v="300"/>
    <n v="1001100"/>
    <n v="401750"/>
    <n v="599350"/>
    <d v="2023-04-01T00:00:00"/>
    <s v="April"/>
    <n v="2023"/>
  </r>
  <r>
    <x v="4"/>
    <x v="3"/>
    <x v="2"/>
    <x v="236"/>
    <n v="7"/>
    <n v="27685"/>
    <n v="11635"/>
    <n v="16050"/>
    <d v="2023-05-01T00:00:00"/>
    <s v="May"/>
    <n v="2023"/>
  </r>
  <r>
    <x v="4"/>
    <x v="3"/>
    <x v="2"/>
    <x v="237"/>
    <n v="300"/>
    <n v="1304100"/>
    <n v="247750"/>
    <n v="1056350"/>
    <d v="2023-06-01T00:00:00"/>
    <s v="June"/>
    <n v="2023"/>
  </r>
  <r>
    <x v="4"/>
    <x v="3"/>
    <x v="2"/>
    <x v="238"/>
    <n v="350"/>
    <n v="541800"/>
    <n v="156520"/>
    <n v="385280"/>
    <d v="2023-06-01T00:00:00"/>
    <s v="June"/>
    <n v="2023"/>
  </r>
  <r>
    <x v="2"/>
    <x v="1"/>
    <x v="2"/>
    <x v="239"/>
    <n v="15"/>
    <n v="32295"/>
    <n v="26200"/>
    <n v="6095"/>
    <d v="2023-09-01T00:00:00"/>
    <s v="September"/>
    <n v="2023"/>
  </r>
  <r>
    <x v="0"/>
    <x v="0"/>
    <x v="2"/>
    <x v="240"/>
    <n v="350"/>
    <n v="1326150"/>
    <n v="319280"/>
    <n v="1006870"/>
    <d v="2022-10-01T00:00:00"/>
    <s v="October"/>
    <n v="2022"/>
  </r>
  <r>
    <x v="0"/>
    <x v="0"/>
    <x v="2"/>
    <x v="241"/>
    <n v="20"/>
    <n v="87280"/>
    <n v="13890"/>
    <n v="73390"/>
    <d v="2022-10-01T00:00:00"/>
    <s v="October"/>
    <n v="2022"/>
  </r>
  <r>
    <x v="4"/>
    <x v="3"/>
    <x v="2"/>
    <x v="242"/>
    <n v="125"/>
    <n v="515750"/>
    <n v="103320"/>
    <n v="412430"/>
    <d v="2023-10-01T00:00:00"/>
    <s v="October"/>
    <n v="2023"/>
  </r>
  <r>
    <x v="2"/>
    <x v="1"/>
    <x v="2"/>
    <x v="243"/>
    <n v="125"/>
    <n v="167875"/>
    <n v="84480"/>
    <n v="83395"/>
    <d v="2022-10-01T00:00:00"/>
    <s v="October"/>
    <n v="2022"/>
  </r>
  <r>
    <x v="0"/>
    <x v="0"/>
    <x v="2"/>
    <x v="244"/>
    <n v="20"/>
    <n v="4900"/>
    <n v="18020"/>
    <n v="-13120"/>
    <d v="2022-12-01T00:00:00"/>
    <s v="December"/>
    <n v="2022"/>
  </r>
  <r>
    <x v="4"/>
    <x v="3"/>
    <x v="2"/>
    <x v="245"/>
    <n v="20"/>
    <n v="67520"/>
    <n v="26630"/>
    <n v="40890"/>
    <d v="2023-12-01T00:00:00"/>
    <s v="December"/>
    <n v="2023"/>
  </r>
  <r>
    <x v="2"/>
    <x v="1"/>
    <x v="2"/>
    <x v="143"/>
    <n v="7"/>
    <n v="9807"/>
    <n v="10680"/>
    <n v="-873"/>
    <d v="2022-12-01T00:00:00"/>
    <s v="December"/>
    <n v="2022"/>
  </r>
  <r>
    <x v="1"/>
    <x v="0"/>
    <x v="2"/>
    <x v="246"/>
    <n v="15"/>
    <n v="52245"/>
    <n v="21160"/>
    <n v="31085"/>
    <d v="2022-12-01T00:00:00"/>
    <s v="December"/>
    <n v="2022"/>
  </r>
  <r>
    <x v="4"/>
    <x v="3"/>
    <x v="3"/>
    <x v="247"/>
    <n v="15"/>
    <n v="33660"/>
    <n v="5550"/>
    <n v="28110"/>
    <d v="2023-01-01T00:00:00"/>
    <s v="January"/>
    <n v="2023"/>
  </r>
  <r>
    <x v="3"/>
    <x v="2"/>
    <x v="3"/>
    <x v="248"/>
    <n v="15"/>
    <n v="20400"/>
    <n v="28610"/>
    <n v="-8210"/>
    <d v="2023-01-01T00:00:00"/>
    <s v="January"/>
    <n v="2023"/>
  </r>
  <r>
    <x v="1"/>
    <x v="0"/>
    <x v="3"/>
    <x v="249"/>
    <n v="125"/>
    <n v="34875"/>
    <n v="96840"/>
    <n v="-61965"/>
    <d v="2023-02-01T00:00:00"/>
    <s v="February"/>
    <n v="2023"/>
  </r>
  <r>
    <x v="4"/>
    <x v="3"/>
    <x v="3"/>
    <x v="250"/>
    <n v="350"/>
    <n v="882350"/>
    <n v="156520"/>
    <n v="725830"/>
    <d v="2023-06-01T00:00:00"/>
    <s v="June"/>
    <n v="2023"/>
  </r>
  <r>
    <x v="4"/>
    <x v="3"/>
    <x v="3"/>
    <x v="251"/>
    <n v="20"/>
    <n v="48660"/>
    <n v="28320"/>
    <n v="20340"/>
    <d v="2023-08-01T00:00:00"/>
    <s v="August"/>
    <n v="2023"/>
  </r>
  <r>
    <x v="2"/>
    <x v="1"/>
    <x v="3"/>
    <x v="252"/>
    <n v="20"/>
    <n v="34760"/>
    <n v="15790"/>
    <n v="18970"/>
    <d v="2023-08-01T00:00:00"/>
    <s v="August"/>
    <n v="2023"/>
  </r>
  <r>
    <x v="4"/>
    <x v="3"/>
    <x v="3"/>
    <x v="253"/>
    <n v="125"/>
    <n v="138250"/>
    <n v="103320"/>
    <n v="34930"/>
    <d v="2023-10-01T00:00:00"/>
    <s v="October"/>
    <n v="2023"/>
  </r>
  <r>
    <x v="2"/>
    <x v="1"/>
    <x v="3"/>
    <x v="254"/>
    <n v="125"/>
    <n v="422375"/>
    <n v="84480"/>
    <n v="337895"/>
    <d v="2022-10-01T00:00:00"/>
    <s v="October"/>
    <n v="2022"/>
  </r>
  <r>
    <x v="2"/>
    <x v="1"/>
    <x v="3"/>
    <x v="255"/>
    <n v="20"/>
    <n v="24420"/>
    <n v="10330"/>
    <n v="14090"/>
    <d v="2022-12-01T00:00:00"/>
    <s v="December"/>
    <n v="2022"/>
  </r>
  <r>
    <x v="1"/>
    <x v="0"/>
    <x v="3"/>
    <x v="256"/>
    <n v="300"/>
    <n v="63900"/>
    <n v="312500"/>
    <n v="-248600"/>
    <d v="2023-12-01T00:00:00"/>
    <s v="December"/>
    <n v="2023"/>
  </r>
  <r>
    <x v="0"/>
    <x v="0"/>
    <x v="4"/>
    <x v="257"/>
    <n v="20"/>
    <n v="66700"/>
    <n v="13890"/>
    <n v="52810"/>
    <d v="2022-10-01T00:00:00"/>
    <s v="October"/>
    <n v="2022"/>
  </r>
  <r>
    <x v="4"/>
    <x v="3"/>
    <x v="4"/>
    <x v="258"/>
    <n v="20"/>
    <n v="25200"/>
    <n v="12650"/>
    <n v="12550"/>
    <d v="2022-11-01T00:00:00"/>
    <s v="November"/>
    <n v="2022"/>
  </r>
  <r>
    <x v="1"/>
    <x v="0"/>
    <x v="4"/>
    <x v="259"/>
    <n v="20"/>
    <n v="60680"/>
    <n v="22970"/>
    <n v="37710"/>
    <d v="2022-11-01T00:00:00"/>
    <s v="November"/>
    <n v="2022"/>
  </r>
  <r>
    <x v="4"/>
    <x v="3"/>
    <x v="4"/>
    <x v="260"/>
    <n v="20"/>
    <n v="58580"/>
    <n v="26630"/>
    <n v="31950"/>
    <d v="2023-12-01T00:00:00"/>
    <s v="December"/>
    <n v="2023"/>
  </r>
  <r>
    <x v="4"/>
    <x v="3"/>
    <x v="4"/>
    <x v="230"/>
    <n v="7"/>
    <n v="16723"/>
    <n v="2850"/>
    <n v="13873"/>
    <d v="2023-12-01T00:00:00"/>
    <s v="December"/>
    <n v="2023"/>
  </r>
  <r>
    <x v="2"/>
    <x v="1"/>
    <x v="4"/>
    <x v="261"/>
    <n v="7"/>
    <n v="21602"/>
    <n v="12435"/>
    <n v="9167"/>
    <d v="2023-12-01T00:00:00"/>
    <s v="December"/>
    <n v="2023"/>
  </r>
  <r>
    <x v="1"/>
    <x v="0"/>
    <x v="5"/>
    <x v="262"/>
    <n v="350"/>
    <n v="260750"/>
    <n v="351000"/>
    <n v="-90250"/>
    <d v="2023-02-01T00:00:00"/>
    <s v="February"/>
    <n v="2023"/>
  </r>
  <r>
    <x v="0"/>
    <x v="0"/>
    <x v="5"/>
    <x v="30"/>
    <n v="350"/>
    <n v="443100"/>
    <n v="143520"/>
    <n v="299580"/>
    <d v="2023-08-01T00:00:00"/>
    <s v="August"/>
    <n v="2023"/>
  </r>
  <r>
    <x v="0"/>
    <x v="0"/>
    <x v="5"/>
    <x v="263"/>
    <n v="350"/>
    <n v="1326500"/>
    <n v="319280"/>
    <n v="1007220"/>
    <d v="2022-10-01T00:00:00"/>
    <s v="October"/>
    <n v="2022"/>
  </r>
  <r>
    <x v="1"/>
    <x v="0"/>
    <x v="5"/>
    <x v="264"/>
    <n v="300"/>
    <n v="1286100"/>
    <n v="312500"/>
    <n v="973600"/>
    <d v="2023-12-01T00:00:00"/>
    <s v="December"/>
    <n v="2023"/>
  </r>
  <r>
    <x v="2"/>
    <x v="1"/>
    <x v="2"/>
    <x v="265"/>
    <n v="15"/>
    <n v="47895"/>
    <n v="38010"/>
    <n v="9885"/>
    <d v="2023-04-01T00:00:00"/>
    <s v="April"/>
    <n v="2023"/>
  </r>
  <r>
    <x v="4"/>
    <x v="3"/>
    <x v="0"/>
    <x v="266"/>
    <n v="20"/>
    <n v="39340"/>
    <n v="11175"/>
    <n v="28165"/>
    <d v="2023-01-01T00:00:00"/>
    <s v="January"/>
    <n v="2023"/>
  </r>
  <r>
    <x v="0"/>
    <x v="0"/>
    <x v="0"/>
    <x v="267"/>
    <n v="15"/>
    <n v="9465"/>
    <n v="28440"/>
    <n v="-18975"/>
    <d v="2023-06-01T00:00:00"/>
    <s v="June"/>
    <n v="2023"/>
  </r>
  <r>
    <x v="3"/>
    <x v="2"/>
    <x v="0"/>
    <x v="268"/>
    <n v="12"/>
    <n v="41628"/>
    <n v="1686"/>
    <n v="39942"/>
    <d v="2023-09-01T00:00:00"/>
    <s v="September"/>
    <n v="2023"/>
  </r>
  <r>
    <x v="0"/>
    <x v="0"/>
    <x v="0"/>
    <x v="269"/>
    <n v="12"/>
    <n v="6840"/>
    <n v="6897"/>
    <n v="-57"/>
    <d v="2022-10-01T00:00:00"/>
    <s v="October"/>
    <n v="2022"/>
  </r>
  <r>
    <x v="4"/>
    <x v="3"/>
    <x v="0"/>
    <x v="270"/>
    <n v="15"/>
    <n v="48225"/>
    <n v="20300"/>
    <n v="27925"/>
    <d v="2023-11-01T00:00:00"/>
    <s v="November"/>
    <n v="2023"/>
  </r>
  <r>
    <x v="4"/>
    <x v="3"/>
    <x v="0"/>
    <x v="271"/>
    <n v="7"/>
    <n v="26278"/>
    <n v="1315"/>
    <n v="24963"/>
    <d v="2022-11-01T00:00:00"/>
    <s v="November"/>
    <n v="2022"/>
  </r>
  <r>
    <x v="1"/>
    <x v="0"/>
    <x v="0"/>
    <x v="272"/>
    <n v="125"/>
    <n v="273375"/>
    <n v="106440"/>
    <n v="166935"/>
    <d v="2022-12-01T00:00:00"/>
    <s v="December"/>
    <n v="2022"/>
  </r>
  <r>
    <x v="3"/>
    <x v="2"/>
    <x v="1"/>
    <x v="273"/>
    <n v="350"/>
    <n v="685650"/>
    <n v="254800"/>
    <n v="430850"/>
    <d v="2023-04-01T00:00:00"/>
    <s v="April"/>
    <n v="2023"/>
  </r>
  <r>
    <x v="1"/>
    <x v="0"/>
    <x v="1"/>
    <x v="90"/>
    <n v="350"/>
    <n v="763350"/>
    <n v="379600"/>
    <n v="383750"/>
    <d v="2023-05-01T00:00:00"/>
    <s v="May"/>
    <n v="2023"/>
  </r>
  <r>
    <x v="2"/>
    <x v="1"/>
    <x v="1"/>
    <x v="274"/>
    <n v="7"/>
    <n v="24913"/>
    <n v="7015"/>
    <n v="17898"/>
    <d v="2022-10-01T00:00:00"/>
    <s v="October"/>
    <n v="2022"/>
  </r>
  <r>
    <x v="4"/>
    <x v="3"/>
    <x v="1"/>
    <x v="275"/>
    <n v="12"/>
    <n v="26460"/>
    <n v="8169"/>
    <n v="18291"/>
    <d v="2023-11-01T00:00:00"/>
    <s v="November"/>
    <n v="2023"/>
  </r>
  <r>
    <x v="2"/>
    <x v="1"/>
    <x v="2"/>
    <x v="276"/>
    <n v="350"/>
    <n v="661500"/>
    <n v="388960"/>
    <n v="272540"/>
    <d v="2023-06-01T00:00:00"/>
    <s v="June"/>
    <n v="2023"/>
  </r>
  <r>
    <x v="0"/>
    <x v="0"/>
    <x v="2"/>
    <x v="277"/>
    <n v="12"/>
    <n v="15552"/>
    <n v="6897"/>
    <n v="8655"/>
    <d v="2022-10-01T00:00:00"/>
    <s v="October"/>
    <n v="2022"/>
  </r>
  <r>
    <x v="4"/>
    <x v="3"/>
    <x v="2"/>
    <x v="278"/>
    <n v="350"/>
    <n v="271250"/>
    <n v="189020"/>
    <n v="82230"/>
    <d v="2022-10-01T00:00:00"/>
    <s v="October"/>
    <n v="2022"/>
  </r>
  <r>
    <x v="0"/>
    <x v="0"/>
    <x v="3"/>
    <x v="279"/>
    <n v="125"/>
    <n v="302125"/>
    <n v="114240"/>
    <n v="187885"/>
    <d v="2023-02-01T00:00:00"/>
    <s v="February"/>
    <n v="2023"/>
  </r>
  <r>
    <x v="4"/>
    <x v="3"/>
    <x v="3"/>
    <x v="280"/>
    <n v="125"/>
    <n v="144750"/>
    <n v="330600"/>
    <n v="-185850"/>
    <d v="2023-02-01T00:00:00"/>
    <s v="February"/>
    <n v="2023"/>
  </r>
  <r>
    <x v="1"/>
    <x v="0"/>
    <x v="3"/>
    <x v="281"/>
    <n v="15"/>
    <n v="12045"/>
    <n v="15300"/>
    <n v="-3255"/>
    <d v="2023-05-01T00:00:00"/>
    <s v="May"/>
    <n v="2023"/>
  </r>
  <r>
    <x v="2"/>
    <x v="1"/>
    <x v="3"/>
    <x v="282"/>
    <n v="350"/>
    <n v="1296750"/>
    <n v="388960"/>
    <n v="907790"/>
    <d v="2023-06-01T00:00:00"/>
    <s v="June"/>
    <n v="2023"/>
  </r>
  <r>
    <x v="3"/>
    <x v="2"/>
    <x v="3"/>
    <x v="283"/>
    <n v="7"/>
    <n v="4123"/>
    <n v="7490"/>
    <n v="-3367"/>
    <d v="2023-06-01T00:00:00"/>
    <s v="June"/>
    <n v="2023"/>
  </r>
  <r>
    <x v="2"/>
    <x v="1"/>
    <x v="3"/>
    <x v="284"/>
    <n v="300"/>
    <n v="1139100"/>
    <n v="305250"/>
    <n v="833850"/>
    <d v="2022-10-01T00:00:00"/>
    <s v="October"/>
    <n v="2022"/>
  </r>
  <r>
    <x v="2"/>
    <x v="1"/>
    <x v="3"/>
    <x v="285"/>
    <n v="350"/>
    <n v="462350"/>
    <n v="539760"/>
    <n v="-77410"/>
    <d v="2022-10-01T00:00:00"/>
    <s v="October"/>
    <n v="2022"/>
  </r>
  <r>
    <x v="0"/>
    <x v="0"/>
    <x v="4"/>
    <x v="286"/>
    <n v="15"/>
    <n v="59985"/>
    <n v="28440"/>
    <n v="31545"/>
    <d v="2023-06-01T00:00:00"/>
    <s v="June"/>
    <n v="2023"/>
  </r>
  <r>
    <x v="3"/>
    <x v="2"/>
    <x v="4"/>
    <x v="287"/>
    <n v="7"/>
    <n v="29792"/>
    <n v="7490"/>
    <n v="22302"/>
    <d v="2023-06-01T00:00:00"/>
    <s v="June"/>
    <n v="2023"/>
  </r>
  <r>
    <x v="2"/>
    <x v="1"/>
    <x v="4"/>
    <x v="288"/>
    <n v="300"/>
    <n v="492900"/>
    <n v="305250"/>
    <n v="187650"/>
    <d v="2022-10-01T00:00:00"/>
    <s v="October"/>
    <n v="2022"/>
  </r>
  <r>
    <x v="3"/>
    <x v="2"/>
    <x v="4"/>
    <x v="289"/>
    <n v="20"/>
    <n v="38240"/>
    <n v="11230"/>
    <n v="27010"/>
    <d v="2022-11-01T00:00:00"/>
    <s v="November"/>
    <n v="2022"/>
  </r>
  <r>
    <x v="0"/>
    <x v="0"/>
    <x v="4"/>
    <x v="232"/>
    <n v="300"/>
    <n v="483000"/>
    <n v="609000"/>
    <n v="-126000"/>
    <d v="2022-12-01T00:00:00"/>
    <s v="December"/>
    <n v="2022"/>
  </r>
  <r>
    <x v="2"/>
    <x v="1"/>
    <x v="5"/>
    <x v="290"/>
    <n v="125"/>
    <n v="270000"/>
    <n v="238500"/>
    <n v="31500"/>
    <d v="2023-01-01T00:00:00"/>
    <s v="January"/>
    <n v="2023"/>
  </r>
  <r>
    <x v="3"/>
    <x v="2"/>
    <x v="5"/>
    <x v="291"/>
    <n v="350"/>
    <n v="163100"/>
    <n v="436540"/>
    <n v="-273440"/>
    <d v="2023-09-01T00:00:00"/>
    <s v="September"/>
    <n v="2023"/>
  </r>
  <r>
    <x v="4"/>
    <x v="3"/>
    <x v="5"/>
    <x v="292"/>
    <n v="350"/>
    <n v="114800"/>
    <n v="189020"/>
    <n v="-74220"/>
    <d v="2022-10-01T00:00:00"/>
    <s v="October"/>
    <n v="2022"/>
  </r>
  <r>
    <x v="2"/>
    <x v="1"/>
    <x v="5"/>
    <x v="99"/>
    <n v="7"/>
    <n v="28693"/>
    <n v="7015"/>
    <n v="21678"/>
    <d v="2022-10-01T00:00:00"/>
    <s v="October"/>
    <n v="2022"/>
  </r>
  <r>
    <x v="2"/>
    <x v="1"/>
    <x v="5"/>
    <x v="293"/>
    <n v="350"/>
    <n v="346500"/>
    <n v="539760"/>
    <n v="-193260"/>
    <d v="2022-10-01T00:00:00"/>
    <s v="October"/>
    <n v="2022"/>
  </r>
  <r>
    <x v="2"/>
    <x v="1"/>
    <x v="1"/>
    <x v="294"/>
    <n v="20"/>
    <n v="28660"/>
    <n v="17570"/>
    <n v="11090"/>
    <d v="2022-10-01T00:00:00"/>
    <s v="October"/>
    <n v="2022"/>
  </r>
  <r>
    <x v="4"/>
    <x v="3"/>
    <x v="2"/>
    <x v="295"/>
    <n v="15"/>
    <n v="22170"/>
    <n v="21980"/>
    <n v="190"/>
    <d v="2023-08-01T00:00:00"/>
    <s v="August"/>
    <n v="2023"/>
  </r>
  <r>
    <x v="1"/>
    <x v="0"/>
    <x v="2"/>
    <x v="296"/>
    <n v="15"/>
    <n v="56970"/>
    <n v="17430"/>
    <n v="39540"/>
    <d v="2023-08-01T00:00:00"/>
    <s v="August"/>
    <n v="2023"/>
  </r>
  <r>
    <x v="4"/>
    <x v="3"/>
    <x v="2"/>
    <x v="297"/>
    <n v="15"/>
    <n v="6705"/>
    <n v="11530"/>
    <n v="-4825"/>
    <d v="2023-10-01T00:00:00"/>
    <s v="October"/>
    <n v="2023"/>
  </r>
  <r>
    <x v="2"/>
    <x v="1"/>
    <x v="2"/>
    <x v="298"/>
    <n v="20"/>
    <n v="34220"/>
    <n v="17570"/>
    <n v="16650"/>
    <d v="2022-10-01T00:00:00"/>
    <s v="October"/>
    <n v="2022"/>
  </r>
  <r>
    <x v="1"/>
    <x v="0"/>
    <x v="3"/>
    <x v="262"/>
    <n v="20"/>
    <n v="14900"/>
    <n v="10010"/>
    <n v="4890"/>
    <d v="2023-08-01T00:00:00"/>
    <s v="August"/>
    <n v="2023"/>
  </r>
  <r>
    <x v="3"/>
    <x v="2"/>
    <x v="3"/>
    <x v="299"/>
    <n v="7"/>
    <n v="12124"/>
    <n v="6665"/>
    <n v="5459"/>
    <d v="2023-11-01T00:00:00"/>
    <s v="November"/>
    <n v="2023"/>
  </r>
  <r>
    <x v="4"/>
    <x v="3"/>
    <x v="4"/>
    <x v="300"/>
    <n v="15"/>
    <n v="26385"/>
    <n v="11530"/>
    <n v="14855"/>
    <d v="2023-10-01T00:00:00"/>
    <s v="October"/>
    <n v="2023"/>
  </r>
  <r>
    <x v="3"/>
    <x v="2"/>
    <x v="0"/>
    <x v="301"/>
    <n v="12"/>
    <n v="4056"/>
    <n v="2181"/>
    <n v="1875"/>
    <d v="2023-02-01T00:00:00"/>
    <s v="February"/>
    <n v="2023"/>
  </r>
  <r>
    <x v="0"/>
    <x v="0"/>
    <x v="0"/>
    <x v="302"/>
    <n v="12"/>
    <n v="46932"/>
    <n v="5652"/>
    <n v="41280"/>
    <d v="2023-08-01T00:00:00"/>
    <s v="August"/>
    <n v="2023"/>
  </r>
  <r>
    <x v="3"/>
    <x v="2"/>
    <x v="0"/>
    <x v="303"/>
    <n v="20"/>
    <n v="73820"/>
    <n v="18340"/>
    <n v="55480"/>
    <d v="2022-09-01T00:00:00"/>
    <s v="September"/>
    <n v="2022"/>
  </r>
  <r>
    <x v="3"/>
    <x v="2"/>
    <x v="1"/>
    <x v="304"/>
    <n v="12"/>
    <n v="53676"/>
    <n v="7020"/>
    <n v="46656"/>
    <d v="2023-01-01T00:00:00"/>
    <s v="January"/>
    <n v="2023"/>
  </r>
  <r>
    <x v="2"/>
    <x v="1"/>
    <x v="1"/>
    <x v="305"/>
    <n v="12"/>
    <n v="4596"/>
    <n v="7026"/>
    <n v="-2430"/>
    <d v="2023-11-01T00:00:00"/>
    <s v="November"/>
    <n v="2023"/>
  </r>
  <r>
    <x v="2"/>
    <x v="1"/>
    <x v="2"/>
    <x v="306"/>
    <n v="7"/>
    <n v="21735"/>
    <n v="5155"/>
    <n v="16580"/>
    <d v="2022-09-01T00:00:00"/>
    <s v="September"/>
    <n v="2022"/>
  </r>
  <r>
    <x v="0"/>
    <x v="0"/>
    <x v="3"/>
    <x v="307"/>
    <n v="15"/>
    <n v="15930"/>
    <n v="12620"/>
    <n v="3310"/>
    <d v="2023-05-01T00:00:00"/>
    <s v="May"/>
    <n v="2023"/>
  </r>
  <r>
    <x v="0"/>
    <x v="0"/>
    <x v="3"/>
    <x v="81"/>
    <n v="7"/>
    <n v="28581"/>
    <n v="5675"/>
    <n v="22906"/>
    <d v="2023-06-01T00:00:00"/>
    <s v="June"/>
    <n v="2023"/>
  </r>
  <r>
    <x v="4"/>
    <x v="3"/>
    <x v="3"/>
    <x v="308"/>
    <n v="7"/>
    <n v="27818"/>
    <n v="2735"/>
    <n v="25083"/>
    <d v="2023-11-01T00:00:00"/>
    <s v="November"/>
    <n v="2023"/>
  </r>
  <r>
    <x v="0"/>
    <x v="0"/>
    <x v="3"/>
    <x v="309"/>
    <n v="7"/>
    <n v="26061"/>
    <n v="7910"/>
    <n v="18151"/>
    <d v="2023-12-01T00:00:00"/>
    <s v="December"/>
    <n v="2023"/>
  </r>
  <r>
    <x v="2"/>
    <x v="1"/>
    <x v="4"/>
    <x v="310"/>
    <n v="12"/>
    <n v="29220"/>
    <n v="5215.5"/>
    <n v="24004.5"/>
    <d v="2023-04-01T00:00:00"/>
    <s v="April"/>
    <n v="2023"/>
  </r>
  <r>
    <x v="1"/>
    <x v="0"/>
    <x v="4"/>
    <x v="311"/>
    <n v="12"/>
    <n v="20136"/>
    <n v="6645"/>
    <n v="13491"/>
    <d v="2022-09-01T00:00:00"/>
    <s v="September"/>
    <n v="2022"/>
  </r>
  <r>
    <x v="0"/>
    <x v="0"/>
    <x v="4"/>
    <x v="312"/>
    <n v="7"/>
    <n v="12341"/>
    <n v="7910"/>
    <n v="4431"/>
    <d v="2023-12-01T00:00:00"/>
    <s v="December"/>
    <n v="2023"/>
  </r>
  <r>
    <x v="0"/>
    <x v="0"/>
    <x v="5"/>
    <x v="304"/>
    <n v="7"/>
    <n v="31311"/>
    <n v="5675"/>
    <n v="25636"/>
    <d v="2023-06-01T00:00:00"/>
    <s v="June"/>
    <n v="2023"/>
  </r>
  <r>
    <x v="4"/>
    <x v="3"/>
    <x v="0"/>
    <x v="313"/>
    <n v="350"/>
    <n v="436100"/>
    <n v="457860"/>
    <n v="-21760"/>
    <d v="2023-03-01T00:00:00"/>
    <s v="March"/>
    <n v="2023"/>
  </r>
  <r>
    <x v="2"/>
    <x v="1"/>
    <x v="0"/>
    <x v="314"/>
    <n v="300"/>
    <n v="484500"/>
    <n v="112000"/>
    <n v="372500"/>
    <d v="2023-06-01T00:00:00"/>
    <s v="June"/>
    <n v="2023"/>
  </r>
  <r>
    <x v="2"/>
    <x v="1"/>
    <x v="0"/>
    <x v="315"/>
    <n v="300"/>
    <n v="224700"/>
    <n v="545250"/>
    <n v="-320550"/>
    <d v="2023-10-01T00:00:00"/>
    <s v="October"/>
    <n v="2023"/>
  </r>
  <r>
    <x v="2"/>
    <x v="1"/>
    <x v="1"/>
    <x v="316"/>
    <n v="20"/>
    <n v="26360"/>
    <n v="19760"/>
    <n v="6600"/>
    <d v="2023-10-01T00:00:00"/>
    <s v="October"/>
    <n v="2023"/>
  </r>
  <r>
    <x v="2"/>
    <x v="1"/>
    <x v="1"/>
    <x v="317"/>
    <n v="300"/>
    <n v="864600"/>
    <n v="545250"/>
    <n v="319350"/>
    <d v="2023-10-01T00:00:00"/>
    <s v="October"/>
    <n v="2023"/>
  </r>
  <r>
    <x v="1"/>
    <x v="0"/>
    <x v="1"/>
    <x v="318"/>
    <n v="125"/>
    <n v="379875"/>
    <n v="300000"/>
    <n v="79875"/>
    <d v="2022-11-01T00:00:00"/>
    <s v="November"/>
    <n v="2022"/>
  </r>
  <r>
    <x v="0"/>
    <x v="0"/>
    <x v="2"/>
    <x v="319"/>
    <n v="300"/>
    <n v="745200"/>
    <n v="425500"/>
    <n v="319700"/>
    <d v="2023-05-01T00:00:00"/>
    <s v="May"/>
    <n v="2023"/>
  </r>
  <r>
    <x v="2"/>
    <x v="1"/>
    <x v="2"/>
    <x v="320"/>
    <n v="300"/>
    <n v="950700"/>
    <n v="112000"/>
    <n v="838700"/>
    <d v="2023-06-01T00:00:00"/>
    <s v="June"/>
    <n v="2023"/>
  </r>
  <r>
    <x v="1"/>
    <x v="0"/>
    <x v="2"/>
    <x v="321"/>
    <n v="125"/>
    <n v="510000"/>
    <n v="421560"/>
    <n v="88440"/>
    <d v="2023-07-01T00:00:00"/>
    <s v="July"/>
    <n v="2023"/>
  </r>
  <r>
    <x v="2"/>
    <x v="1"/>
    <x v="2"/>
    <x v="322"/>
    <n v="15"/>
    <n v="59145"/>
    <n v="21010"/>
    <n v="38135"/>
    <d v="2023-08-01T00:00:00"/>
    <s v="August"/>
    <n v="2023"/>
  </r>
  <r>
    <x v="4"/>
    <x v="3"/>
    <x v="2"/>
    <x v="323"/>
    <n v="15"/>
    <n v="11760"/>
    <n v="29310"/>
    <n v="-17550"/>
    <d v="2022-09-01T00:00:00"/>
    <s v="September"/>
    <n v="2022"/>
  </r>
  <r>
    <x v="2"/>
    <x v="1"/>
    <x v="2"/>
    <x v="324"/>
    <n v="20"/>
    <n v="5060"/>
    <n v="15350"/>
    <n v="-10290"/>
    <d v="2023-09-01T00:00:00"/>
    <s v="September"/>
    <n v="2023"/>
  </r>
  <r>
    <x v="1"/>
    <x v="0"/>
    <x v="2"/>
    <x v="325"/>
    <n v="300"/>
    <n v="394800"/>
    <n v="280750"/>
    <n v="114050"/>
    <d v="2022-09-01T00:00:00"/>
    <s v="September"/>
    <n v="2022"/>
  </r>
  <r>
    <x v="0"/>
    <x v="0"/>
    <x v="2"/>
    <x v="326"/>
    <n v="300"/>
    <n v="242400"/>
    <n v="351000"/>
    <n v="-108600"/>
    <d v="2022-11-01T00:00:00"/>
    <s v="November"/>
    <n v="2022"/>
  </r>
  <r>
    <x v="3"/>
    <x v="2"/>
    <x v="2"/>
    <x v="327"/>
    <n v="12"/>
    <n v="39540"/>
    <n v="8289"/>
    <n v="31251"/>
    <d v="2022-11-01T00:00:00"/>
    <s v="November"/>
    <n v="2022"/>
  </r>
  <r>
    <x v="1"/>
    <x v="0"/>
    <x v="2"/>
    <x v="328"/>
    <n v="7"/>
    <n v="3640"/>
    <n v="10625"/>
    <n v="-6985"/>
    <d v="2022-12-01T00:00:00"/>
    <s v="December"/>
    <n v="2022"/>
  </r>
  <r>
    <x v="2"/>
    <x v="1"/>
    <x v="3"/>
    <x v="113"/>
    <n v="300"/>
    <n v="239700"/>
    <n v="414750"/>
    <n v="-175050"/>
    <d v="2023-07-01T00:00:00"/>
    <s v="July"/>
    <n v="2023"/>
  </r>
  <r>
    <x v="3"/>
    <x v="2"/>
    <x v="3"/>
    <x v="329"/>
    <n v="20"/>
    <n v="78840"/>
    <n v="6090"/>
    <n v="72750"/>
    <d v="2023-08-01T00:00:00"/>
    <s v="August"/>
    <n v="2023"/>
  </r>
  <r>
    <x v="1"/>
    <x v="0"/>
    <x v="3"/>
    <x v="330"/>
    <n v="125"/>
    <n v="312250"/>
    <n v="250440"/>
    <n v="61810"/>
    <d v="2023-09-01T00:00:00"/>
    <s v="September"/>
    <n v="2023"/>
  </r>
  <r>
    <x v="2"/>
    <x v="1"/>
    <x v="3"/>
    <x v="331"/>
    <n v="20"/>
    <n v="50340"/>
    <n v="19760"/>
    <n v="30580"/>
    <d v="2023-10-01T00:00:00"/>
    <s v="October"/>
    <n v="2023"/>
  </r>
  <r>
    <x v="4"/>
    <x v="3"/>
    <x v="3"/>
    <x v="332"/>
    <n v="20"/>
    <n v="63640"/>
    <n v="14210"/>
    <n v="49430"/>
    <d v="2022-12-01T00:00:00"/>
    <s v="December"/>
    <n v="2022"/>
  </r>
  <r>
    <x v="4"/>
    <x v="3"/>
    <x v="3"/>
    <x v="333"/>
    <n v="300"/>
    <n v="343500"/>
    <n v="343000"/>
    <n v="500"/>
    <d v="2023-12-01T00:00:00"/>
    <s v="December"/>
    <n v="2023"/>
  </r>
  <r>
    <x v="1"/>
    <x v="0"/>
    <x v="3"/>
    <x v="334"/>
    <n v="20"/>
    <n v="17900"/>
    <n v="5880"/>
    <n v="12020"/>
    <d v="2022-12-01T00:00:00"/>
    <s v="December"/>
    <n v="2022"/>
  </r>
  <r>
    <x v="0"/>
    <x v="0"/>
    <x v="4"/>
    <x v="335"/>
    <n v="12"/>
    <n v="45768"/>
    <n v="9733.5"/>
    <n v="36034.5"/>
    <d v="2023-01-01T00:00:00"/>
    <s v="January"/>
    <n v="2023"/>
  </r>
  <r>
    <x v="2"/>
    <x v="1"/>
    <x v="4"/>
    <x v="336"/>
    <n v="300"/>
    <n v="356400"/>
    <n v="239750"/>
    <n v="116650"/>
    <d v="2023-02-01T00:00:00"/>
    <s v="February"/>
    <n v="2023"/>
  </r>
  <r>
    <x v="3"/>
    <x v="2"/>
    <x v="4"/>
    <x v="337"/>
    <n v="300"/>
    <n v="669900"/>
    <n v="686750"/>
    <n v="-16850"/>
    <d v="2023-02-01T00:00:00"/>
    <s v="February"/>
    <n v="2023"/>
  </r>
  <r>
    <x v="0"/>
    <x v="0"/>
    <x v="5"/>
    <x v="338"/>
    <n v="125"/>
    <n v="52625"/>
    <n v="197400"/>
    <n v="-144775"/>
    <d v="2023-05-01T00:00:00"/>
    <s v="May"/>
    <n v="2023"/>
  </r>
  <r>
    <x v="2"/>
    <x v="1"/>
    <x v="5"/>
    <x v="339"/>
    <n v="350"/>
    <n v="94150"/>
    <n v="747760"/>
    <n v="-653610"/>
    <d v="2023-09-01T00:00:00"/>
    <s v="September"/>
    <n v="2023"/>
  </r>
  <r>
    <x v="1"/>
    <x v="0"/>
    <x v="5"/>
    <x v="340"/>
    <n v="125"/>
    <n v="470750"/>
    <n v="119280"/>
    <n v="351470"/>
    <d v="2022-09-01T00:00:00"/>
    <s v="September"/>
    <n v="2022"/>
  </r>
  <r>
    <x v="0"/>
    <x v="0"/>
    <x v="5"/>
    <x v="341"/>
    <n v="20"/>
    <n v="19040"/>
    <n v="11180"/>
    <n v="7860"/>
    <d v="2023-11-01T00:00:00"/>
    <s v="November"/>
    <n v="2023"/>
  </r>
  <r>
    <x v="4"/>
    <x v="3"/>
    <x v="5"/>
    <x v="342"/>
    <n v="300"/>
    <n v="889200"/>
    <n v="343000"/>
    <n v="546200"/>
    <d v="2023-12-01T00:00:00"/>
    <s v="December"/>
    <n v="2023"/>
  </r>
  <r>
    <x v="0"/>
    <x v="0"/>
    <x v="1"/>
    <x v="343"/>
    <n v="7"/>
    <n v="10535"/>
    <n v="2440"/>
    <n v="8095"/>
    <d v="2023-02-01T00:00:00"/>
    <s v="February"/>
    <n v="2023"/>
  </r>
  <r>
    <x v="4"/>
    <x v="3"/>
    <x v="1"/>
    <x v="311"/>
    <n v="20"/>
    <n v="33560"/>
    <n v="12820"/>
    <n v="20740"/>
    <d v="2023-06-01T00:00:00"/>
    <s v="June"/>
    <n v="2023"/>
  </r>
  <r>
    <x v="0"/>
    <x v="0"/>
    <x v="2"/>
    <x v="344"/>
    <n v="7"/>
    <n v="29743"/>
    <n v="1285"/>
    <n v="28458"/>
    <d v="2023-05-01T00:00:00"/>
    <s v="May"/>
    <n v="2023"/>
  </r>
  <r>
    <x v="4"/>
    <x v="3"/>
    <x v="5"/>
    <x v="345"/>
    <n v="20"/>
    <n v="33540"/>
    <n v="12820"/>
    <n v="20720"/>
    <d v="2023-06-01T00:00:00"/>
    <s v="June"/>
    <n v="2023"/>
  </r>
  <r>
    <x v="3"/>
    <x v="2"/>
    <x v="0"/>
    <x v="346"/>
    <n v="125"/>
    <n v="381375"/>
    <n v="184800"/>
    <n v="196575"/>
    <d v="2023-08-01T00:00:00"/>
    <s v="August"/>
    <n v="2023"/>
  </r>
  <r>
    <x v="2"/>
    <x v="1"/>
    <x v="0"/>
    <x v="347"/>
    <n v="15"/>
    <n v="50580"/>
    <n v="4900"/>
    <n v="45680"/>
    <d v="2023-11-01T00:00:00"/>
    <s v="November"/>
    <n v="2023"/>
  </r>
  <r>
    <x v="3"/>
    <x v="2"/>
    <x v="0"/>
    <x v="348"/>
    <n v="350"/>
    <n v="590100"/>
    <n v="354120"/>
    <n v="235980"/>
    <d v="2023-12-01T00:00:00"/>
    <s v="December"/>
    <n v="2023"/>
  </r>
  <r>
    <x v="2"/>
    <x v="1"/>
    <x v="1"/>
    <x v="261"/>
    <n v="15"/>
    <n v="46290"/>
    <n v="25010"/>
    <n v="21280"/>
    <d v="2023-03-01T00:00:00"/>
    <s v="March"/>
    <n v="2023"/>
  </r>
  <r>
    <x v="0"/>
    <x v="0"/>
    <x v="1"/>
    <x v="349"/>
    <n v="20"/>
    <n v="83000"/>
    <n v="7080"/>
    <n v="75920"/>
    <d v="2023-06-01T00:00:00"/>
    <s v="June"/>
    <n v="2023"/>
  </r>
  <r>
    <x v="1"/>
    <x v="0"/>
    <x v="1"/>
    <x v="350"/>
    <n v="20"/>
    <n v="60540"/>
    <n v="6450"/>
    <n v="54090"/>
    <d v="2023-07-01T00:00:00"/>
    <s v="July"/>
    <n v="2023"/>
  </r>
  <r>
    <x v="2"/>
    <x v="1"/>
    <x v="1"/>
    <x v="351"/>
    <n v="300"/>
    <n v="1307700"/>
    <n v="390500"/>
    <n v="917200"/>
    <d v="2023-08-01T00:00:00"/>
    <s v="August"/>
    <n v="2023"/>
  </r>
  <r>
    <x v="0"/>
    <x v="0"/>
    <x v="1"/>
    <x v="352"/>
    <n v="300"/>
    <n v="1088400"/>
    <n v="320750"/>
    <n v="767650"/>
    <d v="2022-09-01T00:00:00"/>
    <s v="September"/>
    <n v="2022"/>
  </r>
  <r>
    <x v="1"/>
    <x v="0"/>
    <x v="1"/>
    <x v="353"/>
    <n v="15"/>
    <n v="23835"/>
    <n v="7110"/>
    <n v="16725"/>
    <d v="2023-12-01T00:00:00"/>
    <s v="December"/>
    <n v="2023"/>
  </r>
  <r>
    <x v="3"/>
    <x v="2"/>
    <x v="2"/>
    <x v="354"/>
    <n v="125"/>
    <n v="334875"/>
    <n v="133680"/>
    <n v="201195"/>
    <d v="2023-03-01T00:00:00"/>
    <s v="March"/>
    <n v="2023"/>
  </r>
  <r>
    <x v="1"/>
    <x v="0"/>
    <x v="2"/>
    <x v="355"/>
    <n v="7"/>
    <n v="23807"/>
    <n v="6295"/>
    <n v="17512"/>
    <d v="2023-04-01T00:00:00"/>
    <s v="April"/>
    <n v="2023"/>
  </r>
  <r>
    <x v="1"/>
    <x v="0"/>
    <x v="2"/>
    <x v="356"/>
    <n v="7"/>
    <n v="19705"/>
    <n v="5475"/>
    <n v="14230"/>
    <d v="2023-05-01T00:00:00"/>
    <s v="May"/>
    <n v="2023"/>
  </r>
  <r>
    <x v="1"/>
    <x v="0"/>
    <x v="2"/>
    <x v="342"/>
    <n v="20"/>
    <n v="59280"/>
    <n v="13660"/>
    <n v="45620"/>
    <d v="2023-06-01T00:00:00"/>
    <s v="June"/>
    <n v="2023"/>
  </r>
  <r>
    <x v="3"/>
    <x v="2"/>
    <x v="2"/>
    <x v="357"/>
    <n v="300"/>
    <n v="1251900"/>
    <n v="615000"/>
    <n v="636900"/>
    <d v="2023-06-01T00:00:00"/>
    <s v="June"/>
    <n v="2023"/>
  </r>
  <r>
    <x v="4"/>
    <x v="3"/>
    <x v="2"/>
    <x v="358"/>
    <n v="7"/>
    <n v="8099"/>
    <n v="3390"/>
    <n v="4709"/>
    <d v="2023-08-01T00:00:00"/>
    <s v="August"/>
    <n v="2023"/>
  </r>
  <r>
    <x v="1"/>
    <x v="0"/>
    <x v="2"/>
    <x v="359"/>
    <n v="7"/>
    <n v="21455"/>
    <n v="7990"/>
    <n v="13465"/>
    <d v="2023-08-01T00:00:00"/>
    <s v="August"/>
    <n v="2023"/>
  </r>
  <r>
    <x v="1"/>
    <x v="0"/>
    <x v="2"/>
    <x v="360"/>
    <n v="7"/>
    <n v="13734"/>
    <n v="12045"/>
    <n v="1689"/>
    <d v="2022-09-01T00:00:00"/>
    <s v="September"/>
    <n v="2022"/>
  </r>
  <r>
    <x v="1"/>
    <x v="0"/>
    <x v="2"/>
    <x v="321"/>
    <n v="20"/>
    <n v="81600"/>
    <n v="19340"/>
    <n v="62260"/>
    <d v="2023-09-01T00:00:00"/>
    <s v="September"/>
    <n v="2023"/>
  </r>
  <r>
    <x v="3"/>
    <x v="2"/>
    <x v="2"/>
    <x v="361"/>
    <n v="20"/>
    <n v="34260"/>
    <n v="29930"/>
    <n v="4330"/>
    <d v="2023-09-01T00:00:00"/>
    <s v="September"/>
    <n v="2023"/>
  </r>
  <r>
    <x v="1"/>
    <x v="0"/>
    <x v="2"/>
    <x v="55"/>
    <n v="350"/>
    <n v="978250"/>
    <n v="557960"/>
    <n v="420290"/>
    <d v="2022-11-01T00:00:00"/>
    <s v="November"/>
    <n v="2022"/>
  </r>
  <r>
    <x v="3"/>
    <x v="2"/>
    <x v="2"/>
    <x v="362"/>
    <n v="7"/>
    <n v="28574"/>
    <n v="9730"/>
    <n v="18844"/>
    <d v="2022-12-01T00:00:00"/>
    <s v="December"/>
    <n v="2022"/>
  </r>
  <r>
    <x v="3"/>
    <x v="2"/>
    <x v="2"/>
    <x v="363"/>
    <n v="350"/>
    <n v="591850"/>
    <n v="354120"/>
    <n v="237730"/>
    <d v="2023-12-01T00:00:00"/>
    <s v="December"/>
    <n v="2023"/>
  </r>
  <r>
    <x v="0"/>
    <x v="0"/>
    <x v="3"/>
    <x v="364"/>
    <n v="12"/>
    <n v="27660"/>
    <n v="1794"/>
    <n v="25866"/>
    <d v="2023-03-01T00:00:00"/>
    <s v="March"/>
    <n v="2023"/>
  </r>
  <r>
    <x v="4"/>
    <x v="3"/>
    <x v="3"/>
    <x v="355"/>
    <n v="7"/>
    <n v="23807"/>
    <n v="14535"/>
    <n v="9272"/>
    <d v="2023-06-01T00:00:00"/>
    <s v="June"/>
    <n v="2023"/>
  </r>
  <r>
    <x v="1"/>
    <x v="0"/>
    <x v="3"/>
    <x v="365"/>
    <n v="7"/>
    <n v="16016"/>
    <n v="11690"/>
    <n v="4326"/>
    <d v="2023-06-01T00:00:00"/>
    <s v="June"/>
    <n v="2023"/>
  </r>
  <r>
    <x v="2"/>
    <x v="1"/>
    <x v="3"/>
    <x v="366"/>
    <n v="300"/>
    <n v="719700"/>
    <n v="96500"/>
    <n v="623200"/>
    <d v="2022-11-01T00:00:00"/>
    <s v="November"/>
    <n v="2022"/>
  </r>
  <r>
    <x v="3"/>
    <x v="2"/>
    <x v="3"/>
    <x v="367"/>
    <n v="300"/>
    <n v="1225800"/>
    <n v="158750"/>
    <n v="1067050"/>
    <d v="2023-12-01T00:00:00"/>
    <s v="December"/>
    <n v="2023"/>
  </r>
  <r>
    <x v="2"/>
    <x v="1"/>
    <x v="4"/>
    <x v="368"/>
    <n v="350"/>
    <n v="927850"/>
    <n v="149370"/>
    <n v="778480"/>
    <d v="2023-04-01T00:00:00"/>
    <s v="April"/>
    <n v="2023"/>
  </r>
  <r>
    <x v="1"/>
    <x v="0"/>
    <x v="4"/>
    <x v="369"/>
    <n v="7"/>
    <n v="27797"/>
    <n v="11690"/>
    <n v="16107"/>
    <d v="2023-06-01T00:00:00"/>
    <s v="June"/>
    <n v="2023"/>
  </r>
  <r>
    <x v="2"/>
    <x v="1"/>
    <x v="4"/>
    <x v="370"/>
    <n v="350"/>
    <n v="879200"/>
    <n v="99060"/>
    <n v="780140"/>
    <d v="2023-08-01T00:00:00"/>
    <s v="August"/>
    <n v="2023"/>
  </r>
  <r>
    <x v="1"/>
    <x v="0"/>
    <x v="4"/>
    <x v="169"/>
    <n v="350"/>
    <n v="960750"/>
    <n v="109720"/>
    <n v="851030"/>
    <d v="2023-08-01T00:00:00"/>
    <s v="August"/>
    <n v="2023"/>
  </r>
  <r>
    <x v="0"/>
    <x v="0"/>
    <x v="4"/>
    <x v="371"/>
    <n v="300"/>
    <n v="570900"/>
    <n v="533500"/>
    <n v="37400"/>
    <d v="2023-09-01T00:00:00"/>
    <s v="September"/>
    <n v="2023"/>
  </r>
  <r>
    <x v="4"/>
    <x v="3"/>
    <x v="4"/>
    <x v="372"/>
    <n v="300"/>
    <n v="194100"/>
    <n v="202000"/>
    <n v="-7900"/>
    <d v="2022-12-01T00:00:00"/>
    <s v="December"/>
    <n v="2022"/>
  </r>
  <r>
    <x v="0"/>
    <x v="0"/>
    <x v="5"/>
    <x v="373"/>
    <n v="20"/>
    <n v="58280"/>
    <n v="7080"/>
    <n v="51200"/>
    <d v="2023-06-01T00:00:00"/>
    <s v="June"/>
    <n v="2023"/>
  </r>
  <r>
    <x v="4"/>
    <x v="3"/>
    <x v="5"/>
    <x v="374"/>
    <n v="7"/>
    <n v="13223"/>
    <n v="14535"/>
    <n v="-1312"/>
    <d v="2023-06-01T00:00:00"/>
    <s v="June"/>
    <n v="2023"/>
  </r>
  <r>
    <x v="1"/>
    <x v="0"/>
    <x v="5"/>
    <x v="375"/>
    <n v="20"/>
    <n v="29320"/>
    <n v="13660"/>
    <n v="15660"/>
    <d v="2023-06-01T00:00:00"/>
    <s v="June"/>
    <n v="2023"/>
  </r>
  <r>
    <x v="3"/>
    <x v="2"/>
    <x v="5"/>
    <x v="376"/>
    <n v="300"/>
    <n v="266100"/>
    <n v="615000"/>
    <n v="-348900"/>
    <d v="2023-06-01T00:00:00"/>
    <s v="June"/>
    <n v="2023"/>
  </r>
  <r>
    <x v="1"/>
    <x v="0"/>
    <x v="5"/>
    <x v="377"/>
    <n v="20"/>
    <n v="7900"/>
    <n v="15200"/>
    <n v="-7300"/>
    <d v="2023-11-01T00:00:00"/>
    <s v="November"/>
    <n v="2023"/>
  </r>
  <r>
    <x v="1"/>
    <x v="0"/>
    <x v="5"/>
    <x v="378"/>
    <n v="15"/>
    <n v="25395"/>
    <n v="7110"/>
    <n v="18285"/>
    <d v="2023-12-01T00:00:00"/>
    <s v="December"/>
    <n v="2023"/>
  </r>
  <r>
    <x v="3"/>
    <x v="2"/>
    <x v="5"/>
    <x v="379"/>
    <n v="12"/>
    <n v="29508"/>
    <n v="4125"/>
    <n v="25383"/>
    <d v="2022-12-01T00:00:00"/>
    <s v="December"/>
    <n v="2022"/>
  </r>
  <r>
    <x v="3"/>
    <x v="2"/>
    <x v="5"/>
    <x v="380"/>
    <n v="300"/>
    <n v="794700"/>
    <n v="158750"/>
    <n v="635950"/>
    <d v="2023-12-01T00:00:00"/>
    <s v="December"/>
    <n v="2023"/>
  </r>
  <r>
    <x v="4"/>
    <x v="3"/>
    <x v="4"/>
    <x v="381"/>
    <n v="20"/>
    <n v="72160"/>
    <n v="4365"/>
    <n v="67795"/>
    <d v="2023-07-01T00:00:00"/>
    <s v="July"/>
    <n v="2023"/>
  </r>
  <r>
    <x v="0"/>
    <x v="0"/>
    <x v="0"/>
    <x v="382"/>
    <n v="300"/>
    <n v="321900"/>
    <n v="273500"/>
    <n v="48400"/>
    <d v="2023-06-01T00:00:00"/>
    <s v="June"/>
    <n v="2023"/>
  </r>
  <r>
    <x v="3"/>
    <x v="2"/>
    <x v="0"/>
    <x v="383"/>
    <n v="12"/>
    <n v="21048"/>
    <n v="1101"/>
    <n v="19947"/>
    <d v="2022-10-01T00:00:00"/>
    <s v="October"/>
    <n v="2022"/>
  </r>
  <r>
    <x v="0"/>
    <x v="0"/>
    <x v="1"/>
    <x v="176"/>
    <n v="300"/>
    <n v="650100"/>
    <n v="950625"/>
    <n v="-300525"/>
    <d v="2023-04-01T00:00:00"/>
    <s v="April"/>
    <n v="2023"/>
  </r>
  <r>
    <x v="2"/>
    <x v="1"/>
    <x v="1"/>
    <x v="384"/>
    <n v="350"/>
    <n v="461650"/>
    <n v="433160"/>
    <n v="28490"/>
    <d v="2023-05-01T00:00:00"/>
    <s v="May"/>
    <n v="2023"/>
  </r>
  <r>
    <x v="2"/>
    <x v="1"/>
    <x v="1"/>
    <x v="385"/>
    <n v="300"/>
    <n v="503700"/>
    <n v="80500"/>
    <n v="423200"/>
    <d v="2022-09-01T00:00:00"/>
    <s v="September"/>
    <n v="2022"/>
  </r>
  <r>
    <x v="0"/>
    <x v="0"/>
    <x v="1"/>
    <x v="386"/>
    <n v="12"/>
    <n v="15024"/>
    <n v="6963"/>
    <n v="8061"/>
    <d v="2023-11-01T00:00:00"/>
    <s v="November"/>
    <n v="2023"/>
  </r>
  <r>
    <x v="2"/>
    <x v="1"/>
    <x v="1"/>
    <x v="387"/>
    <n v="125"/>
    <n v="436625"/>
    <n v="222840"/>
    <n v="213785"/>
    <d v="2022-11-01T00:00:00"/>
    <s v="November"/>
    <n v="2022"/>
  </r>
  <r>
    <x v="0"/>
    <x v="0"/>
    <x v="1"/>
    <x v="388"/>
    <n v="7"/>
    <n v="11879"/>
    <n v="8055"/>
    <n v="3824"/>
    <d v="2022-12-01T00:00:00"/>
    <s v="December"/>
    <n v="2022"/>
  </r>
  <r>
    <x v="4"/>
    <x v="3"/>
    <x v="1"/>
    <x v="389"/>
    <n v="125"/>
    <n v="144500"/>
    <n v="335640"/>
    <n v="-191140"/>
    <d v="2023-12-01T00:00:00"/>
    <s v="December"/>
    <n v="2023"/>
  </r>
  <r>
    <x v="1"/>
    <x v="0"/>
    <x v="1"/>
    <x v="390"/>
    <n v="300"/>
    <n v="217800"/>
    <n v="83500"/>
    <n v="134300"/>
    <d v="2022-12-01T00:00:00"/>
    <s v="December"/>
    <n v="2022"/>
  </r>
  <r>
    <x v="3"/>
    <x v="2"/>
    <x v="2"/>
    <x v="391"/>
    <n v="300"/>
    <n v="345900"/>
    <n v="641250"/>
    <n v="-295350"/>
    <d v="2023-01-01T00:00:00"/>
    <s v="January"/>
    <n v="2023"/>
  </r>
  <r>
    <x v="3"/>
    <x v="2"/>
    <x v="2"/>
    <x v="392"/>
    <n v="350"/>
    <n v="952000"/>
    <n v="628420"/>
    <n v="323580"/>
    <d v="2023-01-01T00:00:00"/>
    <s v="January"/>
    <n v="2023"/>
  </r>
  <r>
    <x v="4"/>
    <x v="3"/>
    <x v="2"/>
    <x v="393"/>
    <n v="15"/>
    <n v="54870"/>
    <n v="36750"/>
    <n v="18120"/>
    <d v="2023-04-01T00:00:00"/>
    <s v="April"/>
    <n v="2023"/>
  </r>
  <r>
    <x v="0"/>
    <x v="0"/>
    <x v="2"/>
    <x v="394"/>
    <n v="300"/>
    <n v="885000"/>
    <n v="273500"/>
    <n v="611500"/>
    <d v="2023-06-01T00:00:00"/>
    <s v="June"/>
    <n v="2023"/>
  </r>
  <r>
    <x v="2"/>
    <x v="1"/>
    <x v="2"/>
    <x v="395"/>
    <n v="15"/>
    <n v="27315"/>
    <n v="12270"/>
    <n v="15045"/>
    <d v="2023-10-01T00:00:00"/>
    <s v="October"/>
    <n v="2023"/>
  </r>
  <r>
    <x v="3"/>
    <x v="2"/>
    <x v="2"/>
    <x v="63"/>
    <n v="12"/>
    <n v="50088"/>
    <n v="1101"/>
    <n v="48987"/>
    <d v="2022-10-01T00:00:00"/>
    <s v="October"/>
    <n v="2022"/>
  </r>
  <r>
    <x v="2"/>
    <x v="1"/>
    <x v="2"/>
    <x v="48"/>
    <n v="300"/>
    <n v="338100"/>
    <n v="331000"/>
    <n v="7100"/>
    <d v="2023-11-01T00:00:00"/>
    <s v="November"/>
    <n v="2023"/>
  </r>
  <r>
    <x v="1"/>
    <x v="0"/>
    <x v="2"/>
    <x v="396"/>
    <n v="12"/>
    <n v="26508"/>
    <n v="5325"/>
    <n v="21183"/>
    <d v="2022-11-01T00:00:00"/>
    <s v="November"/>
    <n v="2022"/>
  </r>
  <r>
    <x v="4"/>
    <x v="3"/>
    <x v="2"/>
    <x v="397"/>
    <n v="125"/>
    <n v="107750"/>
    <n v="335640"/>
    <n v="-227890"/>
    <d v="2023-12-01T00:00:00"/>
    <s v="December"/>
    <n v="2023"/>
  </r>
  <r>
    <x v="3"/>
    <x v="2"/>
    <x v="3"/>
    <x v="398"/>
    <n v="15"/>
    <n v="57075"/>
    <n v="2450"/>
    <n v="54625"/>
    <d v="2023-05-01T00:00:00"/>
    <s v="May"/>
    <n v="2023"/>
  </r>
  <r>
    <x v="0"/>
    <x v="0"/>
    <x v="3"/>
    <x v="399"/>
    <n v="300"/>
    <n v="424500"/>
    <n v="948375"/>
    <n v="-523875"/>
    <d v="2023-07-01T00:00:00"/>
    <s v="July"/>
    <n v="2023"/>
  </r>
  <r>
    <x v="1"/>
    <x v="0"/>
    <x v="3"/>
    <x v="400"/>
    <n v="350"/>
    <n v="780850"/>
    <n v="339820"/>
    <n v="441030"/>
    <d v="2023-07-01T00:00:00"/>
    <s v="July"/>
    <n v="2023"/>
  </r>
  <r>
    <x v="0"/>
    <x v="0"/>
    <x v="3"/>
    <x v="6"/>
    <n v="125"/>
    <n v="456125"/>
    <n v="68040"/>
    <n v="388085"/>
    <d v="2023-09-01T00:00:00"/>
    <s v="September"/>
    <n v="2023"/>
  </r>
  <r>
    <x v="3"/>
    <x v="2"/>
    <x v="3"/>
    <x v="401"/>
    <n v="125"/>
    <n v="368500"/>
    <n v="253200"/>
    <n v="115300"/>
    <d v="2023-09-01T00:00:00"/>
    <s v="September"/>
    <n v="2023"/>
  </r>
  <r>
    <x v="0"/>
    <x v="0"/>
    <x v="3"/>
    <x v="402"/>
    <n v="350"/>
    <n v="1188250"/>
    <n v="329940"/>
    <n v="858310"/>
    <d v="2023-10-01T00:00:00"/>
    <s v="October"/>
    <n v="2023"/>
  </r>
  <r>
    <x v="4"/>
    <x v="3"/>
    <x v="4"/>
    <x v="403"/>
    <n v="12"/>
    <n v="31800"/>
    <n v="5868"/>
    <n v="25932"/>
    <d v="2023-01-01T00:00:00"/>
    <s v="January"/>
    <n v="2023"/>
  </r>
  <r>
    <x v="1"/>
    <x v="0"/>
    <x v="4"/>
    <x v="404"/>
    <n v="300"/>
    <n v="175500"/>
    <n v="664750"/>
    <n v="-489250"/>
    <d v="2023-02-01T00:00:00"/>
    <s v="February"/>
    <n v="2023"/>
  </r>
  <r>
    <x v="4"/>
    <x v="3"/>
    <x v="4"/>
    <x v="325"/>
    <n v="350"/>
    <n v="460600"/>
    <n v="351390"/>
    <n v="109210"/>
    <d v="2023-04-01T00:00:00"/>
    <s v="April"/>
    <n v="2023"/>
  </r>
  <r>
    <x v="1"/>
    <x v="0"/>
    <x v="4"/>
    <x v="405"/>
    <n v="12"/>
    <n v="53508"/>
    <n v="2640"/>
    <n v="50868"/>
    <d v="2023-05-01T00:00:00"/>
    <s v="May"/>
    <n v="2023"/>
  </r>
  <r>
    <x v="4"/>
    <x v="3"/>
    <x v="4"/>
    <x v="406"/>
    <n v="300"/>
    <n v="813300"/>
    <n v="466750"/>
    <n v="346550"/>
    <d v="2023-09-01T00:00:00"/>
    <s v="September"/>
    <n v="2023"/>
  </r>
  <r>
    <x v="2"/>
    <x v="1"/>
    <x v="4"/>
    <x v="407"/>
    <n v="12"/>
    <n v="31452"/>
    <n v="6702"/>
    <n v="24750"/>
    <d v="2022-09-01T00:00:00"/>
    <s v="September"/>
    <n v="2022"/>
  </r>
  <r>
    <x v="2"/>
    <x v="1"/>
    <x v="4"/>
    <x v="408"/>
    <n v="15"/>
    <n v="54195"/>
    <n v="12270"/>
    <n v="41925"/>
    <d v="2023-10-01T00:00:00"/>
    <s v="October"/>
    <n v="2023"/>
  </r>
  <r>
    <x v="3"/>
    <x v="2"/>
    <x v="4"/>
    <x v="409"/>
    <n v="125"/>
    <n v="230875"/>
    <n v="105240"/>
    <n v="125635"/>
    <d v="2023-11-01T00:00:00"/>
    <s v="November"/>
    <n v="2023"/>
  </r>
  <r>
    <x v="4"/>
    <x v="3"/>
    <x v="5"/>
    <x v="410"/>
    <n v="350"/>
    <n v="1048600"/>
    <n v="538460"/>
    <n v="510140"/>
    <d v="2023-09-01T00:00:00"/>
    <s v="September"/>
    <n v="2023"/>
  </r>
  <r>
    <x v="0"/>
    <x v="0"/>
    <x v="5"/>
    <x v="411"/>
    <n v="350"/>
    <n v="993300"/>
    <n v="329940"/>
    <n v="663360"/>
    <d v="2023-10-01T00:00:00"/>
    <s v="October"/>
    <n v="2023"/>
  </r>
  <r>
    <x v="1"/>
    <x v="0"/>
    <x v="5"/>
    <x v="412"/>
    <n v="15"/>
    <n v="19530"/>
    <n v="9700"/>
    <n v="9830"/>
    <d v="2022-11-01T00:00:00"/>
    <s v="November"/>
    <n v="2022"/>
  </r>
  <r>
    <x v="3"/>
    <x v="2"/>
    <x v="5"/>
    <x v="413"/>
    <n v="20"/>
    <n v="30720"/>
    <n v="16940"/>
    <n v="13780"/>
    <d v="2023-11-01T00:00:00"/>
    <s v="November"/>
    <n v="2023"/>
  </r>
  <r>
    <x v="1"/>
    <x v="0"/>
    <x v="0"/>
    <x v="414"/>
    <n v="20"/>
    <n v="25820"/>
    <n v="6630"/>
    <n v="19190"/>
    <d v="2023-05-01T00:00:00"/>
    <s v="May"/>
    <n v="2023"/>
  </r>
  <r>
    <x v="0"/>
    <x v="0"/>
    <x v="0"/>
    <x v="415"/>
    <n v="7"/>
    <n v="8491"/>
    <n v="4095"/>
    <n v="4396"/>
    <d v="2023-07-01T00:00:00"/>
    <s v="July"/>
    <n v="2023"/>
  </r>
  <r>
    <x v="1"/>
    <x v="0"/>
    <x v="0"/>
    <x v="416"/>
    <n v="12"/>
    <n v="28440"/>
    <n v="4740"/>
    <n v="23700"/>
    <d v="2023-09-01T00:00:00"/>
    <s v="September"/>
    <n v="2023"/>
  </r>
  <r>
    <x v="3"/>
    <x v="2"/>
    <x v="0"/>
    <x v="417"/>
    <n v="7"/>
    <n v="13853"/>
    <n v="2605"/>
    <n v="11248"/>
    <d v="2023-12-01T00:00:00"/>
    <s v="December"/>
    <n v="2023"/>
  </r>
  <r>
    <x v="4"/>
    <x v="3"/>
    <x v="2"/>
    <x v="418"/>
    <n v="20"/>
    <n v="57580"/>
    <n v="9730"/>
    <n v="47850"/>
    <d v="2023-03-01T00:00:00"/>
    <s v="March"/>
    <n v="2023"/>
  </r>
  <r>
    <x v="3"/>
    <x v="2"/>
    <x v="2"/>
    <x v="419"/>
    <n v="20"/>
    <n v="34140"/>
    <n v="10380"/>
    <n v="23760"/>
    <d v="2023-06-01T00:00:00"/>
    <s v="June"/>
    <n v="2023"/>
  </r>
  <r>
    <x v="1"/>
    <x v="0"/>
    <x v="2"/>
    <x v="420"/>
    <n v="7"/>
    <n v="20531"/>
    <n v="1800"/>
    <n v="18731"/>
    <d v="2023-10-01T00:00:00"/>
    <s v="October"/>
    <n v="2023"/>
  </r>
  <r>
    <x v="2"/>
    <x v="1"/>
    <x v="3"/>
    <x v="421"/>
    <n v="12"/>
    <n v="12168"/>
    <n v="5901"/>
    <n v="6267"/>
    <d v="2023-03-01T00:00:00"/>
    <s v="March"/>
    <n v="2023"/>
  </r>
  <r>
    <x v="3"/>
    <x v="2"/>
    <x v="3"/>
    <x v="422"/>
    <n v="15"/>
    <n v="10395"/>
    <n v="26280"/>
    <n v="-15885"/>
    <d v="2023-04-01T00:00:00"/>
    <s v="April"/>
    <n v="2023"/>
  </r>
  <r>
    <x v="1"/>
    <x v="0"/>
    <x v="4"/>
    <x v="423"/>
    <n v="7"/>
    <n v="26187"/>
    <n v="1800"/>
    <n v="24387"/>
    <d v="2023-10-01T00:00:00"/>
    <s v="October"/>
    <n v="2023"/>
  </r>
  <r>
    <x v="2"/>
    <x v="1"/>
    <x v="4"/>
    <x v="424"/>
    <n v="20"/>
    <n v="62320"/>
    <n v="26820"/>
    <n v="35500"/>
    <d v="2022-11-01T00:00:00"/>
    <s v="November"/>
    <n v="2022"/>
  </r>
  <r>
    <x v="3"/>
    <x v="2"/>
    <x v="4"/>
    <x v="425"/>
    <n v="7"/>
    <n v="27965"/>
    <n v="2605"/>
    <n v="25360"/>
    <d v="2023-12-01T00:00:00"/>
    <s v="December"/>
    <n v="2023"/>
  </r>
  <r>
    <x v="3"/>
    <x v="2"/>
    <x v="5"/>
    <x v="426"/>
    <n v="20"/>
    <n v="19060"/>
    <n v="10380"/>
    <n v="8680"/>
    <d v="2023-06-01T00:00:00"/>
    <s v="June"/>
    <n v="2023"/>
  </r>
  <r>
    <x v="0"/>
    <x v="0"/>
    <x v="5"/>
    <x v="14"/>
    <n v="15"/>
    <n v="37950"/>
    <n v="16305"/>
    <n v="21645"/>
    <d v="2023-07-01T00:00:00"/>
    <s v="July"/>
    <n v="2023"/>
  </r>
  <r>
    <x v="2"/>
    <x v="1"/>
    <x v="5"/>
    <x v="427"/>
    <n v="12"/>
    <n v="30780"/>
    <n v="918"/>
    <n v="29862"/>
    <d v="2022-12-01T00:00:00"/>
    <s v="December"/>
    <n v="2022"/>
  </r>
  <r>
    <x v="4"/>
    <x v="3"/>
    <x v="0"/>
    <x v="428"/>
    <n v="12"/>
    <n v="51564"/>
    <n v="1158"/>
    <n v="50406"/>
    <d v="2022-10-01T00:00:00"/>
    <s v="October"/>
    <n v="2022"/>
  </r>
  <r>
    <x v="4"/>
    <x v="3"/>
    <x v="1"/>
    <x v="429"/>
    <n v="7"/>
    <n v="20097"/>
    <n v="11640"/>
    <n v="8457"/>
    <d v="2023-09-01T00:00:00"/>
    <s v="September"/>
    <n v="2023"/>
  </r>
  <r>
    <x v="4"/>
    <x v="3"/>
    <x v="2"/>
    <x v="430"/>
    <n v="12"/>
    <n v="42444"/>
    <n v="1158"/>
    <n v="41286"/>
    <d v="2022-10-01T00:00:00"/>
    <s v="October"/>
    <n v="2022"/>
  </r>
  <r>
    <x v="4"/>
    <x v="3"/>
    <x v="0"/>
    <x v="122"/>
    <n v="125"/>
    <n v="199750"/>
    <n v="413460"/>
    <n v="-213710"/>
    <d v="2023-04-01T00:00:00"/>
    <s v="April"/>
    <n v="2023"/>
  </r>
  <r>
    <x v="2"/>
    <x v="1"/>
    <x v="0"/>
    <x v="431"/>
    <n v="125"/>
    <n v="327000"/>
    <n v="177840"/>
    <n v="149160"/>
    <d v="2022-12-01T00:00:00"/>
    <s v="December"/>
    <n v="2022"/>
  </r>
  <r>
    <x v="4"/>
    <x v="3"/>
    <x v="1"/>
    <x v="432"/>
    <n v="350"/>
    <n v="992600"/>
    <n v="601380"/>
    <n v="391220"/>
    <d v="2023-05-01T00:00:00"/>
    <s v="May"/>
    <n v="2023"/>
  </r>
  <r>
    <x v="4"/>
    <x v="3"/>
    <x v="1"/>
    <x v="433"/>
    <n v="125"/>
    <n v="502875"/>
    <n v="216480"/>
    <n v="286395"/>
    <d v="2022-11-01T00:00:00"/>
    <s v="November"/>
    <n v="2022"/>
  </r>
  <r>
    <x v="2"/>
    <x v="1"/>
    <x v="1"/>
    <x v="434"/>
    <n v="15"/>
    <n v="59910"/>
    <n v="20720"/>
    <n v="39190"/>
    <d v="2023-12-01T00:00:00"/>
    <s v="December"/>
    <n v="2023"/>
  </r>
  <r>
    <x v="2"/>
    <x v="1"/>
    <x v="2"/>
    <x v="435"/>
    <n v="20"/>
    <n v="58560"/>
    <n v="19540"/>
    <n v="39020"/>
    <d v="2023-03-01T00:00:00"/>
    <s v="March"/>
    <n v="2023"/>
  </r>
  <r>
    <x v="3"/>
    <x v="2"/>
    <x v="2"/>
    <x v="436"/>
    <n v="300"/>
    <n v="873600"/>
    <n v="147750"/>
    <n v="725850"/>
    <d v="2023-05-01T00:00:00"/>
    <s v="May"/>
    <n v="2023"/>
  </r>
  <r>
    <x v="2"/>
    <x v="1"/>
    <x v="2"/>
    <x v="437"/>
    <n v="15"/>
    <n v="55065"/>
    <n v="21670"/>
    <n v="33395"/>
    <d v="2022-10-01T00:00:00"/>
    <s v="October"/>
    <n v="2022"/>
  </r>
  <r>
    <x v="1"/>
    <x v="0"/>
    <x v="2"/>
    <x v="438"/>
    <n v="20"/>
    <n v="55560"/>
    <n v="2410"/>
    <n v="53150"/>
    <d v="2023-10-01T00:00:00"/>
    <s v="October"/>
    <n v="2023"/>
  </r>
  <r>
    <x v="1"/>
    <x v="0"/>
    <x v="3"/>
    <x v="439"/>
    <n v="15"/>
    <n v="6075"/>
    <n v="6810"/>
    <n v="-735"/>
    <d v="2023-01-01T00:00:00"/>
    <s v="January"/>
    <n v="2023"/>
  </r>
  <r>
    <x v="1"/>
    <x v="0"/>
    <x v="3"/>
    <x v="440"/>
    <n v="15"/>
    <n v="30195"/>
    <n v="5100"/>
    <n v="25095"/>
    <d v="2023-04-01T00:00:00"/>
    <s v="April"/>
    <n v="2023"/>
  </r>
  <r>
    <x v="4"/>
    <x v="3"/>
    <x v="3"/>
    <x v="441"/>
    <n v="15"/>
    <n v="39510"/>
    <n v="7900"/>
    <n v="31610"/>
    <d v="2023-05-01T00:00:00"/>
    <s v="May"/>
    <n v="2023"/>
  </r>
  <r>
    <x v="2"/>
    <x v="1"/>
    <x v="3"/>
    <x v="442"/>
    <n v="350"/>
    <n v="1458100"/>
    <n v="166140"/>
    <n v="1291960"/>
    <d v="2023-07-01T00:00:00"/>
    <s v="July"/>
    <n v="2023"/>
  </r>
  <r>
    <x v="4"/>
    <x v="3"/>
    <x v="3"/>
    <x v="443"/>
    <n v="125"/>
    <n v="44375"/>
    <n v="191520"/>
    <n v="-147145"/>
    <d v="2023-09-01T00:00:00"/>
    <s v="September"/>
    <n v="2023"/>
  </r>
  <r>
    <x v="4"/>
    <x v="3"/>
    <x v="3"/>
    <x v="444"/>
    <n v="300"/>
    <n v="714600"/>
    <n v="573500"/>
    <n v="141100"/>
    <d v="2022-10-01T00:00:00"/>
    <s v="October"/>
    <n v="2022"/>
  </r>
  <r>
    <x v="1"/>
    <x v="0"/>
    <x v="3"/>
    <x v="445"/>
    <n v="20"/>
    <n v="83400"/>
    <n v="2410"/>
    <n v="80990"/>
    <d v="2023-10-01T00:00:00"/>
    <s v="October"/>
    <n v="2023"/>
  </r>
  <r>
    <x v="1"/>
    <x v="0"/>
    <x v="3"/>
    <x v="446"/>
    <n v="7"/>
    <n v="6244"/>
    <n v="13325"/>
    <n v="-7081"/>
    <d v="2023-11-01T00:00:00"/>
    <s v="November"/>
    <n v="2023"/>
  </r>
  <r>
    <x v="0"/>
    <x v="0"/>
    <x v="3"/>
    <x v="447"/>
    <n v="125"/>
    <n v="275000"/>
    <n v="229920"/>
    <n v="45080"/>
    <d v="2022-12-01T00:00:00"/>
    <s v="December"/>
    <n v="2022"/>
  </r>
  <r>
    <x v="2"/>
    <x v="1"/>
    <x v="3"/>
    <x v="448"/>
    <n v="300"/>
    <n v="1016700"/>
    <n v="213250"/>
    <n v="803450"/>
    <d v="2023-12-01T00:00:00"/>
    <s v="December"/>
    <n v="2023"/>
  </r>
  <r>
    <x v="3"/>
    <x v="2"/>
    <x v="4"/>
    <x v="215"/>
    <n v="125"/>
    <n v="373750"/>
    <n v="40920"/>
    <n v="332830"/>
    <d v="2023-05-01T00:00:00"/>
    <s v="May"/>
    <n v="2023"/>
  </r>
  <r>
    <x v="3"/>
    <x v="2"/>
    <x v="4"/>
    <x v="449"/>
    <n v="15"/>
    <n v="60195"/>
    <n v="6410"/>
    <n v="53785"/>
    <d v="2023-07-01T00:00:00"/>
    <s v="July"/>
    <n v="2023"/>
  </r>
  <r>
    <x v="4"/>
    <x v="3"/>
    <x v="4"/>
    <x v="450"/>
    <n v="350"/>
    <n v="258650"/>
    <n v="729820"/>
    <n v="-471170"/>
    <d v="2023-08-01T00:00:00"/>
    <s v="August"/>
    <n v="2023"/>
  </r>
  <r>
    <x v="3"/>
    <x v="2"/>
    <x v="4"/>
    <x v="451"/>
    <n v="300"/>
    <n v="596700"/>
    <n v="108000"/>
    <n v="488700"/>
    <d v="2023-09-01T00:00:00"/>
    <s v="September"/>
    <n v="2023"/>
  </r>
  <r>
    <x v="4"/>
    <x v="3"/>
    <x v="4"/>
    <x v="452"/>
    <n v="300"/>
    <n v="897300"/>
    <n v="573500"/>
    <n v="323800"/>
    <d v="2022-10-01T00:00:00"/>
    <s v="October"/>
    <n v="2022"/>
  </r>
  <r>
    <x v="2"/>
    <x v="1"/>
    <x v="4"/>
    <x v="453"/>
    <n v="15"/>
    <n v="63555"/>
    <n v="21670"/>
    <n v="41885"/>
    <d v="2022-10-01T00:00:00"/>
    <s v="October"/>
    <n v="2022"/>
  </r>
  <r>
    <x v="0"/>
    <x v="0"/>
    <x v="4"/>
    <x v="454"/>
    <n v="125"/>
    <n v="180250"/>
    <n v="303480"/>
    <n v="-123230"/>
    <d v="2023-11-01T00:00:00"/>
    <s v="November"/>
    <n v="2023"/>
  </r>
  <r>
    <x v="1"/>
    <x v="0"/>
    <x v="4"/>
    <x v="455"/>
    <n v="350"/>
    <n v="949200"/>
    <n v="486200"/>
    <n v="463000"/>
    <d v="2022-12-01T00:00:00"/>
    <s v="December"/>
    <n v="2022"/>
  </r>
  <r>
    <x v="4"/>
    <x v="3"/>
    <x v="5"/>
    <x v="456"/>
    <n v="125"/>
    <n v="188500"/>
    <n v="69480"/>
    <n v="119020"/>
    <d v="2023-01-01T00:00:00"/>
    <s v="January"/>
    <n v="2023"/>
  </r>
  <r>
    <x v="0"/>
    <x v="0"/>
    <x v="5"/>
    <x v="457"/>
    <n v="350"/>
    <n v="1485750"/>
    <n v="582400"/>
    <n v="903350"/>
    <d v="2023-02-01T00:00:00"/>
    <s v="February"/>
    <n v="2023"/>
  </r>
  <r>
    <x v="4"/>
    <x v="3"/>
    <x v="5"/>
    <x v="458"/>
    <n v="300"/>
    <n v="789000"/>
    <n v="748250"/>
    <n v="40750"/>
    <d v="2023-03-01T00:00:00"/>
    <s v="March"/>
    <n v="2023"/>
  </r>
  <r>
    <x v="0"/>
    <x v="0"/>
    <x v="5"/>
    <x v="459"/>
    <n v="12"/>
    <n v="14184"/>
    <n v="10561.5"/>
    <n v="3622.5"/>
    <d v="2023-04-01T00:00:00"/>
    <s v="April"/>
    <n v="2023"/>
  </r>
  <r>
    <x v="3"/>
    <x v="2"/>
    <x v="5"/>
    <x v="255"/>
    <n v="20"/>
    <n v="24420"/>
    <n v="20390"/>
    <n v="4030"/>
    <d v="2023-05-01T00:00:00"/>
    <s v="May"/>
    <n v="2023"/>
  </r>
  <r>
    <x v="1"/>
    <x v="0"/>
    <x v="5"/>
    <x v="460"/>
    <n v="12"/>
    <n v="11556"/>
    <n v="7722"/>
    <n v="3834"/>
    <d v="2023-08-01T00:00:00"/>
    <s v="August"/>
    <n v="2023"/>
  </r>
  <r>
    <x v="0"/>
    <x v="0"/>
    <x v="5"/>
    <x v="461"/>
    <n v="350"/>
    <n v="1135050"/>
    <n v="183820"/>
    <n v="951230"/>
    <d v="2023-09-01T00:00:00"/>
    <s v="September"/>
    <n v="2023"/>
  </r>
  <r>
    <x v="2"/>
    <x v="1"/>
    <x v="5"/>
    <x v="462"/>
    <n v="15"/>
    <n v="16800"/>
    <n v="20720"/>
    <n v="-3920"/>
    <d v="2023-12-01T00:00:00"/>
    <s v="December"/>
    <n v="2023"/>
  </r>
  <r>
    <x v="2"/>
    <x v="1"/>
    <x v="5"/>
    <x v="463"/>
    <n v="300"/>
    <n v="352200"/>
    <n v="213250"/>
    <n v="138950"/>
    <d v="2023-12-01T00:00:00"/>
    <s v="December"/>
    <n v="2023"/>
  </r>
  <r>
    <x v="2"/>
    <x v="1"/>
    <x v="0"/>
    <x v="464"/>
    <n v="12"/>
    <n v="30492"/>
    <n v="3594"/>
    <n v="26898"/>
    <d v="2022-10-01T00:00:00"/>
    <s v="October"/>
    <n v="2022"/>
  </r>
  <r>
    <x v="2"/>
    <x v="1"/>
    <x v="2"/>
    <x v="465"/>
    <n v="7"/>
    <n v="22722"/>
    <n v="12660"/>
    <n v="10062"/>
    <d v="2023-04-01T00:00:00"/>
    <s v="April"/>
    <n v="2023"/>
  </r>
  <r>
    <x v="2"/>
    <x v="1"/>
    <x v="2"/>
    <x v="466"/>
    <n v="12"/>
    <n v="18372"/>
    <n v="3594"/>
    <n v="14778"/>
    <d v="2022-10-01T00:00:00"/>
    <s v="October"/>
    <n v="2022"/>
  </r>
  <r>
    <x v="0"/>
    <x v="0"/>
    <x v="3"/>
    <x v="467"/>
    <n v="15"/>
    <n v="37890"/>
    <n v="3840"/>
    <n v="34050"/>
    <d v="2023-01-01T00:00:00"/>
    <s v="January"/>
    <n v="2023"/>
  </r>
  <r>
    <x v="1"/>
    <x v="0"/>
    <x v="3"/>
    <x v="468"/>
    <n v="12"/>
    <n v="13632"/>
    <n v="1416"/>
    <n v="12216"/>
    <d v="2023-10-01T00:00:00"/>
    <s v="October"/>
    <n v="2023"/>
  </r>
  <r>
    <x v="4"/>
    <x v="3"/>
    <x v="4"/>
    <x v="469"/>
    <n v="7"/>
    <n v="13881"/>
    <n v="7895"/>
    <n v="5986"/>
    <d v="2023-03-01T00:00:00"/>
    <s v="March"/>
    <n v="2023"/>
  </r>
  <r>
    <x v="3"/>
    <x v="2"/>
    <x v="4"/>
    <x v="470"/>
    <n v="12"/>
    <n v="39108"/>
    <n v="3015"/>
    <n v="36093"/>
    <d v="2022-09-01T00:00:00"/>
    <s v="September"/>
    <n v="2022"/>
  </r>
  <r>
    <x v="4"/>
    <x v="3"/>
    <x v="5"/>
    <x v="471"/>
    <n v="15"/>
    <n v="49005"/>
    <n v="31995"/>
    <n v="17010"/>
    <d v="2023-07-01T00:00:00"/>
    <s v="July"/>
    <n v="2023"/>
  </r>
  <r>
    <x v="1"/>
    <x v="0"/>
    <x v="5"/>
    <x v="472"/>
    <n v="12"/>
    <n v="29448"/>
    <n v="1416"/>
    <n v="28032"/>
    <d v="2023-10-01T00:00:00"/>
    <s v="October"/>
    <n v="2023"/>
  </r>
  <r>
    <x v="0"/>
    <x v="0"/>
    <x v="0"/>
    <x v="473"/>
    <n v="12"/>
    <n v="31716"/>
    <n v="5811"/>
    <n v="25905"/>
    <d v="2023-02-01T00:00:00"/>
    <s v="February"/>
    <n v="2023"/>
  </r>
  <r>
    <x v="1"/>
    <x v="0"/>
    <x v="0"/>
    <x v="305"/>
    <n v="350"/>
    <n v="134050"/>
    <n v="205920"/>
    <n v="-71870"/>
    <d v="2023-03-01T00:00:00"/>
    <s v="March"/>
    <n v="2023"/>
  </r>
  <r>
    <x v="1"/>
    <x v="0"/>
    <x v="0"/>
    <x v="474"/>
    <n v="300"/>
    <n v="840300"/>
    <n v="702750"/>
    <n v="137550"/>
    <d v="2023-07-01T00:00:00"/>
    <s v="July"/>
    <n v="2023"/>
  </r>
  <r>
    <x v="2"/>
    <x v="1"/>
    <x v="0"/>
    <x v="475"/>
    <n v="125"/>
    <n v="208375"/>
    <n v="292920"/>
    <n v="-84545"/>
    <d v="2023-10-01T00:00:00"/>
    <s v="October"/>
    <n v="2023"/>
  </r>
  <r>
    <x v="0"/>
    <x v="0"/>
    <x v="0"/>
    <x v="476"/>
    <n v="15"/>
    <n v="53085"/>
    <n v="15600"/>
    <n v="37485"/>
    <d v="2022-11-01T00:00:00"/>
    <s v="November"/>
    <n v="2022"/>
  </r>
  <r>
    <x v="3"/>
    <x v="2"/>
    <x v="0"/>
    <x v="477"/>
    <n v="7"/>
    <n v="29582"/>
    <n v="13530"/>
    <n v="16052"/>
    <d v="2022-11-01T00:00:00"/>
    <s v="November"/>
    <n v="2022"/>
  </r>
  <r>
    <x v="1"/>
    <x v="0"/>
    <x v="1"/>
    <x v="478"/>
    <n v="350"/>
    <n v="777000"/>
    <n v="199160"/>
    <n v="577840"/>
    <d v="2023-01-01T00:00:00"/>
    <s v="January"/>
    <n v="2023"/>
  </r>
  <r>
    <x v="1"/>
    <x v="0"/>
    <x v="1"/>
    <x v="479"/>
    <n v="20"/>
    <n v="15520"/>
    <n v="29920"/>
    <n v="-14400"/>
    <d v="2022-10-01T00:00:00"/>
    <s v="October"/>
    <n v="2022"/>
  </r>
  <r>
    <x v="3"/>
    <x v="2"/>
    <x v="1"/>
    <x v="480"/>
    <n v="15"/>
    <n v="8295"/>
    <n v="21570"/>
    <n v="-13275"/>
    <d v="2023-12-01T00:00:00"/>
    <s v="December"/>
    <n v="2023"/>
  </r>
  <r>
    <x v="0"/>
    <x v="0"/>
    <x v="2"/>
    <x v="481"/>
    <n v="300"/>
    <n v="632100"/>
    <n v="218250"/>
    <n v="413850"/>
    <d v="2023-01-01T00:00:00"/>
    <s v="January"/>
    <n v="2023"/>
  </r>
  <r>
    <x v="3"/>
    <x v="2"/>
    <x v="2"/>
    <x v="482"/>
    <n v="20"/>
    <n v="49360"/>
    <n v="11220"/>
    <n v="38140"/>
    <d v="2023-03-01T00:00:00"/>
    <s v="March"/>
    <n v="2023"/>
  </r>
  <r>
    <x v="0"/>
    <x v="0"/>
    <x v="2"/>
    <x v="483"/>
    <n v="350"/>
    <n v="666750"/>
    <n v="547170"/>
    <n v="119580"/>
    <d v="2023-07-01T00:00:00"/>
    <s v="July"/>
    <n v="2023"/>
  </r>
  <r>
    <x v="0"/>
    <x v="0"/>
    <x v="2"/>
    <x v="393"/>
    <n v="12"/>
    <n v="43896"/>
    <n v="12078"/>
    <n v="31818"/>
    <d v="2023-07-01T00:00:00"/>
    <s v="July"/>
    <n v="2023"/>
  </r>
  <r>
    <x v="2"/>
    <x v="1"/>
    <x v="2"/>
    <x v="484"/>
    <n v="12"/>
    <n v="51612"/>
    <n v="7276.5"/>
    <n v="44335.5"/>
    <d v="2023-07-01T00:00:00"/>
    <s v="July"/>
    <n v="2023"/>
  </r>
  <r>
    <x v="0"/>
    <x v="0"/>
    <x v="2"/>
    <x v="485"/>
    <n v="20"/>
    <n v="48920"/>
    <n v="23940"/>
    <n v="24980"/>
    <d v="2023-08-01T00:00:00"/>
    <s v="August"/>
    <n v="2023"/>
  </r>
  <r>
    <x v="3"/>
    <x v="2"/>
    <x v="2"/>
    <x v="486"/>
    <n v="15"/>
    <n v="63135"/>
    <n v="19840"/>
    <n v="43295"/>
    <d v="2023-08-01T00:00:00"/>
    <s v="August"/>
    <n v="2023"/>
  </r>
  <r>
    <x v="2"/>
    <x v="1"/>
    <x v="2"/>
    <x v="487"/>
    <n v="125"/>
    <n v="419125"/>
    <n v="292920"/>
    <n v="126205"/>
    <d v="2023-10-01T00:00:00"/>
    <s v="October"/>
    <n v="2023"/>
  </r>
  <r>
    <x v="1"/>
    <x v="0"/>
    <x v="2"/>
    <x v="143"/>
    <n v="20"/>
    <n v="28020"/>
    <n v="29920"/>
    <n v="-1900"/>
    <d v="2022-10-01T00:00:00"/>
    <s v="October"/>
    <n v="2022"/>
  </r>
  <r>
    <x v="0"/>
    <x v="0"/>
    <x v="2"/>
    <x v="488"/>
    <n v="300"/>
    <n v="559500"/>
    <n v="341500"/>
    <n v="218000"/>
    <d v="2023-11-01T00:00:00"/>
    <s v="November"/>
    <n v="2023"/>
  </r>
  <r>
    <x v="2"/>
    <x v="1"/>
    <x v="3"/>
    <x v="489"/>
    <n v="20"/>
    <n v="9260"/>
    <n v="28050"/>
    <n v="-18790"/>
    <d v="2022-09-01T00:00:00"/>
    <s v="September"/>
    <n v="2022"/>
  </r>
  <r>
    <x v="3"/>
    <x v="2"/>
    <x v="3"/>
    <x v="490"/>
    <n v="15"/>
    <n v="62655"/>
    <n v="6550"/>
    <n v="56105"/>
    <d v="2022-09-01T00:00:00"/>
    <s v="September"/>
    <n v="2022"/>
  </r>
  <r>
    <x v="3"/>
    <x v="2"/>
    <x v="3"/>
    <x v="491"/>
    <n v="350"/>
    <n v="883050"/>
    <n v="89440"/>
    <n v="793610"/>
    <d v="2022-10-01T00:00:00"/>
    <s v="October"/>
    <n v="2022"/>
  </r>
  <r>
    <x v="0"/>
    <x v="0"/>
    <x v="3"/>
    <x v="492"/>
    <n v="7"/>
    <n v="13510"/>
    <n v="9040"/>
    <n v="4470"/>
    <d v="2023-11-01T00:00:00"/>
    <s v="November"/>
    <n v="2023"/>
  </r>
  <r>
    <x v="2"/>
    <x v="1"/>
    <x v="4"/>
    <x v="493"/>
    <n v="12"/>
    <n v="15612"/>
    <n v="5202"/>
    <n v="10410"/>
    <d v="2023-01-01T00:00:00"/>
    <s v="January"/>
    <n v="2023"/>
  </r>
  <r>
    <x v="3"/>
    <x v="2"/>
    <x v="4"/>
    <x v="494"/>
    <n v="125"/>
    <n v="515625"/>
    <n v="66480"/>
    <n v="449145"/>
    <d v="2023-01-01T00:00:00"/>
    <s v="January"/>
    <n v="2023"/>
  </r>
  <r>
    <x v="0"/>
    <x v="0"/>
    <x v="4"/>
    <x v="495"/>
    <n v="20"/>
    <n v="12140"/>
    <n v="29350"/>
    <n v="-17210"/>
    <d v="2022-11-01T00:00:00"/>
    <s v="November"/>
    <n v="2022"/>
  </r>
  <r>
    <x v="1"/>
    <x v="0"/>
    <x v="5"/>
    <x v="496"/>
    <n v="125"/>
    <n v="59750"/>
    <n v="379800"/>
    <n v="-320050"/>
    <d v="2023-01-01T00:00:00"/>
    <s v="January"/>
    <n v="2023"/>
  </r>
  <r>
    <x v="3"/>
    <x v="2"/>
    <x v="5"/>
    <x v="175"/>
    <n v="20"/>
    <n v="89780"/>
    <n v="26290"/>
    <n v="63490"/>
    <d v="2023-01-01T00:00:00"/>
    <s v="January"/>
    <n v="2023"/>
  </r>
  <r>
    <x v="2"/>
    <x v="1"/>
    <x v="5"/>
    <x v="497"/>
    <n v="125"/>
    <n v="188000"/>
    <n v="171960"/>
    <n v="16040"/>
    <d v="2023-05-01T00:00:00"/>
    <s v="May"/>
    <n v="2023"/>
  </r>
  <r>
    <x v="3"/>
    <x v="2"/>
    <x v="5"/>
    <x v="498"/>
    <n v="125"/>
    <n v="470375"/>
    <n v="113640"/>
    <n v="356735"/>
    <d v="2022-09-01T00:00:00"/>
    <s v="September"/>
    <n v="2022"/>
  </r>
  <r>
    <x v="3"/>
    <x v="2"/>
    <x v="5"/>
    <x v="499"/>
    <n v="350"/>
    <n v="844200"/>
    <n v="89440"/>
    <n v="754760"/>
    <d v="2022-10-01T00:00:00"/>
    <s v="October"/>
    <n v="2022"/>
  </r>
  <r>
    <x v="3"/>
    <x v="2"/>
    <x v="5"/>
    <x v="500"/>
    <n v="15"/>
    <n v="35130"/>
    <n v="21570"/>
    <n v="13560"/>
    <d v="2023-12-01T00:00:00"/>
    <s v="December"/>
    <n v="2023"/>
  </r>
  <r>
    <x v="4"/>
    <x v="3"/>
    <x v="2"/>
    <x v="501"/>
    <n v="7"/>
    <n v="31157"/>
    <n v="1900"/>
    <n v="29257"/>
    <d v="2022-09-01T00:00:00"/>
    <s v="September"/>
    <n v="2022"/>
  </r>
  <r>
    <x v="3"/>
    <x v="2"/>
    <x v="0"/>
    <x v="502"/>
    <n v="350"/>
    <n v="1328600"/>
    <n v="230360"/>
    <n v="1098240"/>
    <d v="2023-06-01T00:00:00"/>
    <s v="June"/>
    <n v="2023"/>
  </r>
  <r>
    <x v="0"/>
    <x v="0"/>
    <x v="0"/>
    <x v="503"/>
    <n v="125"/>
    <n v="285750"/>
    <n v="289920"/>
    <n v="-4170"/>
    <d v="2022-09-01T00:00:00"/>
    <s v="September"/>
    <n v="2022"/>
  </r>
  <r>
    <x v="3"/>
    <x v="2"/>
    <x v="0"/>
    <x v="504"/>
    <n v="125"/>
    <n v="451750"/>
    <n v="258720"/>
    <n v="193030"/>
    <d v="2023-10-01T00:00:00"/>
    <s v="October"/>
    <n v="2023"/>
  </r>
  <r>
    <x v="0"/>
    <x v="0"/>
    <x v="0"/>
    <x v="505"/>
    <n v="15"/>
    <n v="25740"/>
    <n v="26890"/>
    <n v="-1150"/>
    <d v="2023-11-01T00:00:00"/>
    <s v="November"/>
    <n v="2023"/>
  </r>
  <r>
    <x v="4"/>
    <x v="3"/>
    <x v="1"/>
    <x v="493"/>
    <n v="15"/>
    <n v="19515"/>
    <n v="6770"/>
    <n v="12745"/>
    <d v="2023-03-01T00:00:00"/>
    <s v="March"/>
    <n v="2023"/>
  </r>
  <r>
    <x v="2"/>
    <x v="1"/>
    <x v="1"/>
    <x v="506"/>
    <n v="300"/>
    <n v="1252500"/>
    <n v="443250"/>
    <n v="809250"/>
    <d v="2023-04-01T00:00:00"/>
    <s v="April"/>
    <n v="2023"/>
  </r>
  <r>
    <x v="3"/>
    <x v="2"/>
    <x v="1"/>
    <x v="507"/>
    <n v="7"/>
    <n v="6825"/>
    <n v="12100"/>
    <n v="-5275"/>
    <d v="2023-09-01T00:00:00"/>
    <s v="September"/>
    <n v="2023"/>
  </r>
  <r>
    <x v="0"/>
    <x v="0"/>
    <x v="1"/>
    <x v="95"/>
    <n v="7"/>
    <n v="8078"/>
    <n v="13670"/>
    <n v="-5592"/>
    <d v="2023-10-01T00:00:00"/>
    <s v="October"/>
    <n v="2023"/>
  </r>
  <r>
    <x v="3"/>
    <x v="2"/>
    <x v="1"/>
    <x v="508"/>
    <n v="20"/>
    <n v="37460"/>
    <n v="17150"/>
    <n v="20310"/>
    <d v="2022-10-01T00:00:00"/>
    <s v="October"/>
    <n v="2022"/>
  </r>
  <r>
    <x v="2"/>
    <x v="1"/>
    <x v="1"/>
    <x v="340"/>
    <n v="300"/>
    <n v="1129800"/>
    <n v="296500"/>
    <n v="833300"/>
    <d v="2022-12-01T00:00:00"/>
    <s v="December"/>
    <n v="2022"/>
  </r>
  <r>
    <x v="4"/>
    <x v="3"/>
    <x v="2"/>
    <x v="509"/>
    <n v="300"/>
    <n v="1067400"/>
    <n v="873750"/>
    <n v="193650"/>
    <d v="2023-01-01T00:00:00"/>
    <s v="January"/>
    <n v="2023"/>
  </r>
  <r>
    <x v="3"/>
    <x v="2"/>
    <x v="2"/>
    <x v="510"/>
    <n v="350"/>
    <n v="1104600"/>
    <n v="230360"/>
    <n v="874240"/>
    <d v="2023-06-01T00:00:00"/>
    <s v="June"/>
    <n v="2023"/>
  </r>
  <r>
    <x v="3"/>
    <x v="2"/>
    <x v="2"/>
    <x v="511"/>
    <n v="125"/>
    <n v="374250"/>
    <n v="258720"/>
    <n v="115530"/>
    <d v="2023-10-01T00:00:00"/>
    <s v="October"/>
    <n v="2023"/>
  </r>
  <r>
    <x v="3"/>
    <x v="2"/>
    <x v="2"/>
    <x v="18"/>
    <n v="20"/>
    <n v="41740"/>
    <n v="9050"/>
    <n v="32690"/>
    <d v="2023-10-01T00:00:00"/>
    <s v="October"/>
    <n v="2023"/>
  </r>
  <r>
    <x v="3"/>
    <x v="2"/>
    <x v="2"/>
    <x v="512"/>
    <n v="20"/>
    <n v="21120"/>
    <n v="17150"/>
    <n v="3970"/>
    <d v="2022-10-01T00:00:00"/>
    <s v="October"/>
    <n v="2022"/>
  </r>
  <r>
    <x v="2"/>
    <x v="1"/>
    <x v="2"/>
    <x v="513"/>
    <n v="350"/>
    <n v="473550"/>
    <n v="414440"/>
    <n v="59110"/>
    <d v="2023-11-01T00:00:00"/>
    <s v="November"/>
    <n v="2023"/>
  </r>
  <r>
    <x v="1"/>
    <x v="0"/>
    <x v="2"/>
    <x v="514"/>
    <n v="300"/>
    <n v="124800"/>
    <n v="339750"/>
    <n v="-214950"/>
    <d v="2023-11-01T00:00:00"/>
    <s v="November"/>
    <n v="2023"/>
  </r>
  <r>
    <x v="3"/>
    <x v="2"/>
    <x v="2"/>
    <x v="42"/>
    <n v="300"/>
    <n v="1164000"/>
    <n v="537500"/>
    <n v="626500"/>
    <d v="2023-11-01T00:00:00"/>
    <s v="November"/>
    <n v="2023"/>
  </r>
  <r>
    <x v="3"/>
    <x v="2"/>
    <x v="2"/>
    <x v="515"/>
    <n v="350"/>
    <n v="283150"/>
    <n v="311220"/>
    <n v="-28070"/>
    <d v="2023-11-01T00:00:00"/>
    <s v="November"/>
    <n v="2023"/>
  </r>
  <r>
    <x v="3"/>
    <x v="2"/>
    <x v="2"/>
    <x v="516"/>
    <n v="15"/>
    <n v="28380"/>
    <n v="3800"/>
    <n v="24580"/>
    <d v="2022-12-01T00:00:00"/>
    <s v="December"/>
    <n v="2022"/>
  </r>
  <r>
    <x v="3"/>
    <x v="2"/>
    <x v="2"/>
    <x v="517"/>
    <n v="20"/>
    <n v="41440"/>
    <n v="12330"/>
    <n v="29110"/>
    <d v="2023-12-01T00:00:00"/>
    <s v="December"/>
    <n v="2023"/>
  </r>
  <r>
    <x v="3"/>
    <x v="2"/>
    <x v="3"/>
    <x v="518"/>
    <n v="350"/>
    <n v="1068200"/>
    <n v="362700"/>
    <n v="705500"/>
    <d v="2023-07-01T00:00:00"/>
    <s v="July"/>
    <n v="2023"/>
  </r>
  <r>
    <x v="4"/>
    <x v="3"/>
    <x v="3"/>
    <x v="519"/>
    <n v="350"/>
    <n v="1092350"/>
    <n v="256360"/>
    <n v="835990"/>
    <d v="2023-10-01T00:00:00"/>
    <s v="October"/>
    <n v="2023"/>
  </r>
  <r>
    <x v="3"/>
    <x v="2"/>
    <x v="3"/>
    <x v="520"/>
    <n v="20"/>
    <n v="41180"/>
    <n v="9050"/>
    <n v="32130"/>
    <d v="2023-10-01T00:00:00"/>
    <s v="October"/>
    <n v="2023"/>
  </r>
  <r>
    <x v="0"/>
    <x v="0"/>
    <x v="4"/>
    <x v="521"/>
    <n v="12"/>
    <n v="51048"/>
    <n v="6327"/>
    <n v="44721"/>
    <d v="2023-05-01T00:00:00"/>
    <s v="May"/>
    <n v="2023"/>
  </r>
  <r>
    <x v="2"/>
    <x v="1"/>
    <x v="4"/>
    <x v="522"/>
    <n v="15"/>
    <n v="19395"/>
    <n v="38745"/>
    <n v="-19350"/>
    <d v="2023-07-01T00:00:00"/>
    <s v="July"/>
    <n v="2023"/>
  </r>
  <r>
    <x v="0"/>
    <x v="0"/>
    <x v="4"/>
    <x v="522"/>
    <n v="350"/>
    <n v="452550"/>
    <n v="161980"/>
    <n v="290570"/>
    <d v="2022-09-01T00:00:00"/>
    <s v="September"/>
    <n v="2022"/>
  </r>
  <r>
    <x v="4"/>
    <x v="3"/>
    <x v="4"/>
    <x v="523"/>
    <n v="350"/>
    <n v="80500"/>
    <n v="256360"/>
    <n v="-175860"/>
    <d v="2023-10-01T00:00:00"/>
    <s v="October"/>
    <n v="2023"/>
  </r>
  <r>
    <x v="4"/>
    <x v="3"/>
    <x v="4"/>
    <x v="72"/>
    <n v="125"/>
    <n v="215375"/>
    <n v="286440"/>
    <n v="-71065"/>
    <d v="2023-11-01T00:00:00"/>
    <s v="November"/>
    <n v="2023"/>
  </r>
  <r>
    <x v="3"/>
    <x v="2"/>
    <x v="4"/>
    <x v="524"/>
    <n v="20"/>
    <n v="4800"/>
    <n v="12330"/>
    <n v="-7530"/>
    <d v="2023-12-01T00:00:00"/>
    <s v="December"/>
    <n v="2023"/>
  </r>
  <r>
    <x v="4"/>
    <x v="3"/>
    <x v="5"/>
    <x v="525"/>
    <n v="350"/>
    <n v="899850"/>
    <n v="70200"/>
    <n v="829650"/>
    <d v="2023-02-01T00:00:00"/>
    <s v="February"/>
    <n v="2023"/>
  </r>
  <r>
    <x v="2"/>
    <x v="1"/>
    <x v="5"/>
    <x v="526"/>
    <n v="7"/>
    <n v="11627"/>
    <n v="17107.5"/>
    <n v="-5480.5"/>
    <d v="2023-07-01T00:00:00"/>
    <s v="July"/>
    <n v="2023"/>
  </r>
  <r>
    <x v="0"/>
    <x v="0"/>
    <x v="5"/>
    <x v="527"/>
    <n v="7"/>
    <n v="31318"/>
    <n v="13670"/>
    <n v="17648"/>
    <d v="2023-10-01T00:00:00"/>
    <s v="October"/>
    <n v="2023"/>
  </r>
  <r>
    <x v="4"/>
    <x v="3"/>
    <x v="5"/>
    <x v="528"/>
    <n v="15"/>
    <n v="12495"/>
    <n v="25480"/>
    <n v="-12985"/>
    <d v="2022-11-01T00:00:00"/>
    <s v="November"/>
    <n v="2022"/>
  </r>
  <r>
    <x v="2"/>
    <x v="1"/>
    <x v="0"/>
    <x v="529"/>
    <n v="20"/>
    <n v="13480"/>
    <n v="25215"/>
    <n v="-11735"/>
    <d v="2023-01-01T00:00:00"/>
    <s v="January"/>
    <n v="2023"/>
  </r>
  <r>
    <x v="3"/>
    <x v="2"/>
    <x v="1"/>
    <x v="530"/>
    <n v="12"/>
    <n v="9336"/>
    <n v="7983"/>
    <n v="1353"/>
    <d v="2023-05-01T00:00:00"/>
    <s v="May"/>
    <n v="2023"/>
  </r>
  <r>
    <x v="1"/>
    <x v="0"/>
    <x v="2"/>
    <x v="531"/>
    <n v="20"/>
    <n v="29140"/>
    <n v="15310"/>
    <n v="13830"/>
    <d v="2023-12-01T00:00:00"/>
    <s v="December"/>
    <n v="2023"/>
  </r>
  <r>
    <x v="2"/>
    <x v="1"/>
    <x v="4"/>
    <x v="532"/>
    <n v="7"/>
    <n v="22106"/>
    <n v="7455"/>
    <n v="14651"/>
    <d v="2023-03-01T00:00:00"/>
    <s v="March"/>
    <n v="2023"/>
  </r>
  <r>
    <x v="1"/>
    <x v="0"/>
    <x v="4"/>
    <x v="533"/>
    <n v="20"/>
    <n v="81900"/>
    <n v="15310"/>
    <n v="66590"/>
    <d v="2023-12-01T00:00:00"/>
    <s v="December"/>
    <n v="2023"/>
  </r>
  <r>
    <x v="0"/>
    <x v="0"/>
    <x v="5"/>
    <x v="534"/>
    <n v="12"/>
    <n v="38040"/>
    <n v="8283"/>
    <n v="29757"/>
    <d v="2022-09-01T00:00:00"/>
    <s v="September"/>
    <n v="2022"/>
  </r>
  <r>
    <x v="4"/>
    <x v="3"/>
    <x v="0"/>
    <x v="535"/>
    <n v="15"/>
    <n v="7395"/>
    <n v="25670"/>
    <n v="-18275"/>
    <d v="2023-06-01T00:00:00"/>
    <s v="June"/>
    <n v="2023"/>
  </r>
  <r>
    <x v="4"/>
    <x v="3"/>
    <x v="4"/>
    <x v="536"/>
    <n v="15"/>
    <n v="49290"/>
    <n v="25670"/>
    <n v="23620"/>
    <d v="2023-06-01T00:00:00"/>
    <s v="June"/>
    <n v="2023"/>
  </r>
  <r>
    <x v="0"/>
    <x v="0"/>
    <x v="0"/>
    <x v="537"/>
    <n v="350"/>
    <n v="1247050"/>
    <n v="239980"/>
    <n v="1007070"/>
    <d v="2023-03-01T00:00:00"/>
    <s v="March"/>
    <n v="2023"/>
  </r>
  <r>
    <x v="2"/>
    <x v="1"/>
    <x v="0"/>
    <x v="538"/>
    <n v="350"/>
    <n v="1438150"/>
    <n v="465400"/>
    <n v="972750"/>
    <d v="2023-03-01T00:00:00"/>
    <s v="March"/>
    <n v="2023"/>
  </r>
  <r>
    <x v="1"/>
    <x v="0"/>
    <x v="0"/>
    <x v="539"/>
    <n v="20"/>
    <n v="73060"/>
    <n v="4420"/>
    <n v="68640"/>
    <d v="2022-09-01T00:00:00"/>
    <s v="September"/>
    <n v="2022"/>
  </r>
  <r>
    <x v="4"/>
    <x v="3"/>
    <x v="1"/>
    <x v="540"/>
    <n v="350"/>
    <n v="771050"/>
    <n v="255450"/>
    <n v="515600"/>
    <d v="2023-01-01T00:00:00"/>
    <s v="January"/>
    <n v="2023"/>
  </r>
  <r>
    <x v="4"/>
    <x v="3"/>
    <x v="1"/>
    <x v="541"/>
    <n v="7"/>
    <n v="20468"/>
    <n v="6490"/>
    <n v="13978"/>
    <d v="2023-02-01T00:00:00"/>
    <s v="February"/>
    <n v="2023"/>
  </r>
  <r>
    <x v="3"/>
    <x v="2"/>
    <x v="1"/>
    <x v="403"/>
    <n v="12"/>
    <n v="31800"/>
    <n v="1812"/>
    <n v="29988"/>
    <d v="2023-06-01T00:00:00"/>
    <s v="June"/>
    <n v="2023"/>
  </r>
  <r>
    <x v="3"/>
    <x v="2"/>
    <x v="1"/>
    <x v="542"/>
    <n v="20"/>
    <n v="23880"/>
    <n v="22550"/>
    <n v="1330"/>
    <d v="2023-07-01T00:00:00"/>
    <s v="July"/>
    <n v="2023"/>
  </r>
  <r>
    <x v="0"/>
    <x v="0"/>
    <x v="1"/>
    <x v="543"/>
    <n v="20"/>
    <n v="67320"/>
    <n v="12490"/>
    <n v="54830"/>
    <d v="2023-10-01T00:00:00"/>
    <s v="October"/>
    <n v="2023"/>
  </r>
  <r>
    <x v="4"/>
    <x v="3"/>
    <x v="2"/>
    <x v="544"/>
    <n v="7"/>
    <n v="9275"/>
    <n v="7192.5"/>
    <n v="2082.5"/>
    <d v="2023-01-01T00:00:00"/>
    <s v="January"/>
    <n v="2023"/>
  </r>
  <r>
    <x v="1"/>
    <x v="0"/>
    <x v="2"/>
    <x v="545"/>
    <n v="300"/>
    <n v="1272900"/>
    <n v="201750"/>
    <n v="1071150"/>
    <d v="2023-01-01T00:00:00"/>
    <s v="January"/>
    <n v="2023"/>
  </r>
  <r>
    <x v="4"/>
    <x v="3"/>
    <x v="2"/>
    <x v="546"/>
    <n v="20"/>
    <n v="57740"/>
    <n v="26410"/>
    <n v="31330"/>
    <d v="2023-02-01T00:00:00"/>
    <s v="February"/>
    <n v="2023"/>
  </r>
  <r>
    <x v="1"/>
    <x v="0"/>
    <x v="2"/>
    <x v="547"/>
    <n v="20"/>
    <n v="76780"/>
    <n v="27080"/>
    <n v="49700"/>
    <d v="2023-02-01T00:00:00"/>
    <s v="February"/>
    <n v="2023"/>
  </r>
  <r>
    <x v="0"/>
    <x v="0"/>
    <x v="2"/>
    <x v="548"/>
    <n v="350"/>
    <n v="652050"/>
    <n v="684320"/>
    <n v="-32270"/>
    <d v="2023-06-01T00:00:00"/>
    <s v="June"/>
    <n v="2023"/>
  </r>
  <r>
    <x v="0"/>
    <x v="0"/>
    <x v="2"/>
    <x v="549"/>
    <n v="125"/>
    <n v="357250"/>
    <n v="189960"/>
    <n v="167290"/>
    <d v="2023-06-01T00:00:00"/>
    <s v="June"/>
    <n v="2023"/>
  </r>
  <r>
    <x v="3"/>
    <x v="2"/>
    <x v="2"/>
    <x v="550"/>
    <n v="12"/>
    <n v="34416"/>
    <n v="1713"/>
    <n v="32703"/>
    <d v="2023-07-01T00:00:00"/>
    <s v="July"/>
    <n v="2023"/>
  </r>
  <r>
    <x v="2"/>
    <x v="1"/>
    <x v="2"/>
    <x v="398"/>
    <n v="7"/>
    <n v="26635"/>
    <n v="13480"/>
    <n v="13155"/>
    <d v="2023-08-01T00:00:00"/>
    <s v="August"/>
    <n v="2023"/>
  </r>
  <r>
    <x v="0"/>
    <x v="0"/>
    <x v="2"/>
    <x v="551"/>
    <n v="15"/>
    <n v="58710"/>
    <n v="15650"/>
    <n v="43060"/>
    <d v="2023-10-01T00:00:00"/>
    <s v="October"/>
    <n v="2023"/>
  </r>
  <r>
    <x v="0"/>
    <x v="0"/>
    <x v="2"/>
    <x v="552"/>
    <n v="20"/>
    <n v="10480"/>
    <n v="12490"/>
    <n v="-2010"/>
    <d v="2023-10-01T00:00:00"/>
    <s v="October"/>
    <n v="2023"/>
  </r>
  <r>
    <x v="1"/>
    <x v="0"/>
    <x v="2"/>
    <x v="553"/>
    <n v="350"/>
    <n v="1083250"/>
    <n v="92820"/>
    <n v="990430"/>
    <d v="2023-11-01T00:00:00"/>
    <s v="November"/>
    <n v="2023"/>
  </r>
  <r>
    <x v="1"/>
    <x v="0"/>
    <x v="2"/>
    <x v="554"/>
    <n v="12"/>
    <n v="28920"/>
    <n v="3039"/>
    <n v="25881"/>
    <d v="2023-12-01T00:00:00"/>
    <s v="December"/>
    <n v="2023"/>
  </r>
  <r>
    <x v="2"/>
    <x v="1"/>
    <x v="3"/>
    <x v="555"/>
    <n v="15"/>
    <n v="63945"/>
    <n v="39975"/>
    <n v="23970"/>
    <d v="2023-01-01T00:00:00"/>
    <s v="January"/>
    <n v="2023"/>
  </r>
  <r>
    <x v="0"/>
    <x v="0"/>
    <x v="3"/>
    <x v="556"/>
    <n v="350"/>
    <n v="783650"/>
    <n v="684320"/>
    <n v="99330"/>
    <d v="2023-06-01T00:00:00"/>
    <s v="June"/>
    <n v="2023"/>
  </r>
  <r>
    <x v="2"/>
    <x v="1"/>
    <x v="3"/>
    <x v="557"/>
    <n v="7"/>
    <n v="3983"/>
    <n v="5950"/>
    <n v="-1967"/>
    <d v="2023-06-01T00:00:00"/>
    <s v="June"/>
    <n v="2023"/>
  </r>
  <r>
    <x v="3"/>
    <x v="2"/>
    <x v="3"/>
    <x v="558"/>
    <n v="12"/>
    <n v="46668"/>
    <n v="1812"/>
    <n v="44856"/>
    <d v="2023-06-01T00:00:00"/>
    <s v="June"/>
    <n v="2023"/>
  </r>
  <r>
    <x v="1"/>
    <x v="0"/>
    <x v="3"/>
    <x v="559"/>
    <n v="15"/>
    <n v="20670"/>
    <n v="6600"/>
    <n v="14070"/>
    <d v="2022-09-01T00:00:00"/>
    <s v="September"/>
    <n v="2022"/>
  </r>
  <r>
    <x v="3"/>
    <x v="2"/>
    <x v="3"/>
    <x v="560"/>
    <n v="12"/>
    <n v="27036"/>
    <n v="1230"/>
    <n v="25806"/>
    <d v="2023-10-01T00:00:00"/>
    <s v="October"/>
    <n v="2023"/>
  </r>
  <r>
    <x v="3"/>
    <x v="2"/>
    <x v="3"/>
    <x v="561"/>
    <n v="300"/>
    <n v="960600"/>
    <n v="651250"/>
    <n v="309350"/>
    <d v="2022-11-01T00:00:00"/>
    <s v="November"/>
    <n v="2022"/>
  </r>
  <r>
    <x v="1"/>
    <x v="0"/>
    <x v="3"/>
    <x v="163"/>
    <n v="12"/>
    <n v="46020"/>
    <n v="3039"/>
    <n v="42981"/>
    <d v="2023-12-01T00:00:00"/>
    <s v="December"/>
    <n v="2023"/>
  </r>
  <r>
    <x v="0"/>
    <x v="0"/>
    <x v="4"/>
    <x v="562"/>
    <n v="125"/>
    <n v="310875"/>
    <n v="189960"/>
    <n v="120915"/>
    <d v="2023-06-01T00:00:00"/>
    <s v="June"/>
    <n v="2023"/>
  </r>
  <r>
    <x v="0"/>
    <x v="0"/>
    <x v="4"/>
    <x v="563"/>
    <n v="15"/>
    <n v="66420"/>
    <n v="15650"/>
    <n v="50770"/>
    <d v="2023-10-01T00:00:00"/>
    <s v="October"/>
    <n v="2023"/>
  </r>
  <r>
    <x v="0"/>
    <x v="0"/>
    <x v="5"/>
    <x v="564"/>
    <n v="125"/>
    <n v="150000"/>
    <n v="199080"/>
    <n v="-49080"/>
    <d v="2023-01-01T00:00:00"/>
    <s v="January"/>
    <n v="2023"/>
  </r>
  <r>
    <x v="2"/>
    <x v="1"/>
    <x v="5"/>
    <x v="565"/>
    <n v="7"/>
    <n v="20671"/>
    <n v="5950"/>
    <n v="14721"/>
    <d v="2023-06-01T00:00:00"/>
    <s v="June"/>
    <n v="2023"/>
  </r>
  <r>
    <x v="3"/>
    <x v="2"/>
    <x v="5"/>
    <x v="566"/>
    <n v="12"/>
    <n v="17436"/>
    <n v="1230"/>
    <n v="16206"/>
    <d v="2023-10-01T00:00:00"/>
    <s v="October"/>
    <n v="2023"/>
  </r>
  <r>
    <x v="1"/>
    <x v="0"/>
    <x v="5"/>
    <x v="567"/>
    <n v="12"/>
    <n v="10380"/>
    <n v="5310"/>
    <n v="5070"/>
    <d v="2022-12-01T00:00:00"/>
    <s v="December"/>
    <n v="2022"/>
  </r>
  <r>
    <x v="3"/>
    <x v="2"/>
    <x v="0"/>
    <x v="216"/>
    <n v="20"/>
    <n v="21440"/>
    <n v="25790"/>
    <n v="-4350"/>
    <d v="2023-04-01T00:00:00"/>
    <s v="April"/>
    <n v="2023"/>
  </r>
  <r>
    <x v="4"/>
    <x v="3"/>
    <x v="0"/>
    <x v="568"/>
    <n v="20"/>
    <n v="34740"/>
    <n v="17430"/>
    <n v="17310"/>
    <d v="2023-05-01T00:00:00"/>
    <s v="May"/>
    <n v="2023"/>
  </r>
  <r>
    <x v="4"/>
    <x v="3"/>
    <x v="0"/>
    <x v="569"/>
    <n v="7"/>
    <n v="10745"/>
    <n v="14980"/>
    <n v="-4235"/>
    <d v="2022-10-01T00:00:00"/>
    <s v="October"/>
    <n v="2022"/>
  </r>
  <r>
    <x v="1"/>
    <x v="0"/>
    <x v="0"/>
    <x v="570"/>
    <n v="7"/>
    <n v="17724"/>
    <n v="1400"/>
    <n v="16324"/>
    <d v="2023-12-01T00:00:00"/>
    <s v="December"/>
    <n v="2023"/>
  </r>
  <r>
    <x v="2"/>
    <x v="1"/>
    <x v="1"/>
    <x v="189"/>
    <n v="7"/>
    <n v="12355"/>
    <n v="1465"/>
    <n v="10890"/>
    <d v="2023-02-01T00:00:00"/>
    <s v="February"/>
    <n v="2023"/>
  </r>
  <r>
    <x v="4"/>
    <x v="3"/>
    <x v="1"/>
    <x v="571"/>
    <n v="7"/>
    <n v="10969"/>
    <n v="14980"/>
    <n v="-4011"/>
    <d v="2022-10-01T00:00:00"/>
    <s v="October"/>
    <n v="2022"/>
  </r>
  <r>
    <x v="1"/>
    <x v="0"/>
    <x v="2"/>
    <x v="572"/>
    <n v="15"/>
    <n v="39600"/>
    <n v="2780"/>
    <n v="36820"/>
    <d v="2023-02-01T00:00:00"/>
    <s v="February"/>
    <n v="2023"/>
  </r>
  <r>
    <x v="0"/>
    <x v="0"/>
    <x v="2"/>
    <x v="573"/>
    <n v="20"/>
    <n v="61580"/>
    <n v="24280"/>
    <n v="37300"/>
    <d v="2023-03-01T00:00:00"/>
    <s v="March"/>
    <n v="2023"/>
  </r>
  <r>
    <x v="4"/>
    <x v="3"/>
    <x v="2"/>
    <x v="574"/>
    <n v="15"/>
    <n v="61950"/>
    <n v="17670"/>
    <n v="44280"/>
    <d v="2023-09-01T00:00:00"/>
    <s v="September"/>
    <n v="2023"/>
  </r>
  <r>
    <x v="2"/>
    <x v="1"/>
    <x v="2"/>
    <x v="192"/>
    <n v="12"/>
    <n v="35256"/>
    <n v="4179"/>
    <n v="31077"/>
    <d v="2023-10-01T00:00:00"/>
    <s v="October"/>
    <n v="2023"/>
  </r>
  <r>
    <x v="1"/>
    <x v="0"/>
    <x v="4"/>
    <x v="575"/>
    <n v="7"/>
    <n v="21560"/>
    <n v="1400"/>
    <n v="20160"/>
    <d v="2023-12-01T00:00:00"/>
    <s v="December"/>
    <n v="2023"/>
  </r>
  <r>
    <x v="2"/>
    <x v="1"/>
    <x v="5"/>
    <x v="576"/>
    <n v="12"/>
    <n v="18360"/>
    <n v="4179"/>
    <n v="14181"/>
    <d v="2023-10-01T00:00:00"/>
    <s v="October"/>
    <n v="2023"/>
  </r>
  <r>
    <x v="4"/>
    <x v="3"/>
    <x v="5"/>
    <x v="430"/>
    <n v="12"/>
    <n v="42444"/>
    <n v="6045"/>
    <n v="36399"/>
    <d v="2022-12-01T00:00:00"/>
    <s v="December"/>
    <n v="2022"/>
  </r>
  <r>
    <x v="3"/>
    <x v="2"/>
    <x v="0"/>
    <x v="577"/>
    <n v="300"/>
    <n v="606300"/>
    <n v="200250"/>
    <n v="406050"/>
    <d v="2023-07-01T00:00:00"/>
    <s v="July"/>
    <n v="2023"/>
  </r>
  <r>
    <x v="2"/>
    <x v="1"/>
    <x v="0"/>
    <x v="578"/>
    <n v="125"/>
    <n v="225500"/>
    <n v="122760"/>
    <n v="102740"/>
    <d v="2022-09-01T00:00:00"/>
    <s v="September"/>
    <n v="2022"/>
  </r>
  <r>
    <x v="0"/>
    <x v="0"/>
    <x v="0"/>
    <x v="421"/>
    <n v="300"/>
    <n v="304200"/>
    <n v="374000"/>
    <n v="-69800"/>
    <d v="2023-10-01T00:00:00"/>
    <s v="October"/>
    <n v="2023"/>
  </r>
  <r>
    <x v="4"/>
    <x v="3"/>
    <x v="0"/>
    <x v="579"/>
    <n v="300"/>
    <n v="873900"/>
    <n v="252500"/>
    <n v="621400"/>
    <d v="2023-10-01T00:00:00"/>
    <s v="October"/>
    <n v="2023"/>
  </r>
  <r>
    <x v="1"/>
    <x v="0"/>
    <x v="0"/>
    <x v="580"/>
    <n v="15"/>
    <n v="11445"/>
    <n v="15130"/>
    <n v="-3685"/>
    <d v="2023-11-01T00:00:00"/>
    <s v="November"/>
    <n v="2023"/>
  </r>
  <r>
    <x v="0"/>
    <x v="0"/>
    <x v="0"/>
    <x v="581"/>
    <n v="15"/>
    <n v="21375"/>
    <n v="23000"/>
    <n v="-1625"/>
    <d v="2023-12-01T00:00:00"/>
    <s v="December"/>
    <n v="2023"/>
  </r>
  <r>
    <x v="3"/>
    <x v="2"/>
    <x v="0"/>
    <x v="582"/>
    <n v="125"/>
    <n v="544625"/>
    <n v="338520"/>
    <n v="206105"/>
    <d v="2022-12-01T00:00:00"/>
    <s v="December"/>
    <n v="2022"/>
  </r>
  <r>
    <x v="0"/>
    <x v="0"/>
    <x v="1"/>
    <x v="583"/>
    <n v="350"/>
    <n v="748300"/>
    <n v="579150"/>
    <n v="169150"/>
    <d v="2023-01-01T00:00:00"/>
    <s v="January"/>
    <n v="2023"/>
  </r>
  <r>
    <x v="1"/>
    <x v="0"/>
    <x v="1"/>
    <x v="584"/>
    <n v="350"/>
    <n v="1338750"/>
    <n v="311740"/>
    <n v="1027010"/>
    <d v="2023-04-01T00:00:00"/>
    <s v="April"/>
    <n v="2023"/>
  </r>
  <r>
    <x v="0"/>
    <x v="0"/>
    <x v="1"/>
    <x v="585"/>
    <n v="350"/>
    <n v="1187550"/>
    <n v="52000"/>
    <n v="1135550"/>
    <d v="2023-05-01T00:00:00"/>
    <s v="May"/>
    <n v="2023"/>
  </r>
  <r>
    <x v="0"/>
    <x v="0"/>
    <x v="1"/>
    <x v="586"/>
    <n v="7"/>
    <n v="15505"/>
    <n v="1940"/>
    <n v="13565"/>
    <d v="2023-09-01T00:00:00"/>
    <s v="September"/>
    <n v="2023"/>
  </r>
  <r>
    <x v="3"/>
    <x v="2"/>
    <x v="1"/>
    <x v="153"/>
    <n v="7"/>
    <n v="15946"/>
    <n v="8635"/>
    <n v="7311"/>
    <d v="2022-10-01T00:00:00"/>
    <s v="October"/>
    <n v="2022"/>
  </r>
  <r>
    <x v="0"/>
    <x v="0"/>
    <x v="1"/>
    <x v="587"/>
    <n v="15"/>
    <n v="6045"/>
    <n v="23000"/>
    <n v="-16955"/>
    <d v="2023-12-01T00:00:00"/>
    <s v="December"/>
    <n v="2023"/>
  </r>
  <r>
    <x v="3"/>
    <x v="2"/>
    <x v="2"/>
    <x v="588"/>
    <n v="20"/>
    <n v="5780"/>
    <n v="2600"/>
    <n v="3180"/>
    <d v="2023-02-01T00:00:00"/>
    <s v="February"/>
    <n v="2023"/>
  </r>
  <r>
    <x v="0"/>
    <x v="0"/>
    <x v="2"/>
    <x v="315"/>
    <n v="15"/>
    <n v="11235"/>
    <n v="24700"/>
    <n v="-13465"/>
    <d v="2022-09-01T00:00:00"/>
    <s v="September"/>
    <n v="2022"/>
  </r>
  <r>
    <x v="0"/>
    <x v="0"/>
    <x v="2"/>
    <x v="589"/>
    <n v="15"/>
    <n v="5580"/>
    <n v="17430"/>
    <n v="-11850"/>
    <d v="2022-10-01T00:00:00"/>
    <s v="October"/>
    <n v="2022"/>
  </r>
  <r>
    <x v="4"/>
    <x v="3"/>
    <x v="2"/>
    <x v="590"/>
    <n v="12"/>
    <n v="45372"/>
    <n v="8742"/>
    <n v="36630"/>
    <d v="2023-10-01T00:00:00"/>
    <s v="October"/>
    <n v="2023"/>
  </r>
  <r>
    <x v="2"/>
    <x v="1"/>
    <x v="2"/>
    <x v="591"/>
    <n v="7"/>
    <n v="12495"/>
    <n v="8655"/>
    <n v="3840"/>
    <d v="2023-10-01T00:00:00"/>
    <s v="October"/>
    <n v="2023"/>
  </r>
  <r>
    <x v="0"/>
    <x v="0"/>
    <x v="2"/>
    <x v="592"/>
    <n v="350"/>
    <n v="1410150"/>
    <n v="182000"/>
    <n v="1228150"/>
    <d v="2023-11-01T00:00:00"/>
    <s v="November"/>
    <n v="2023"/>
  </r>
  <r>
    <x v="0"/>
    <x v="0"/>
    <x v="2"/>
    <x v="593"/>
    <n v="12"/>
    <n v="33756"/>
    <n v="6666"/>
    <n v="27090"/>
    <d v="2022-11-01T00:00:00"/>
    <s v="November"/>
    <n v="2022"/>
  </r>
  <r>
    <x v="4"/>
    <x v="3"/>
    <x v="2"/>
    <x v="594"/>
    <n v="350"/>
    <n v="752500"/>
    <n v="306020"/>
    <n v="446480"/>
    <d v="2023-11-01T00:00:00"/>
    <s v="November"/>
    <n v="2023"/>
  </r>
  <r>
    <x v="2"/>
    <x v="1"/>
    <x v="2"/>
    <x v="595"/>
    <n v="350"/>
    <n v="732550"/>
    <n v="499720"/>
    <n v="232830"/>
    <d v="2022-11-01T00:00:00"/>
    <s v="November"/>
    <n v="2022"/>
  </r>
  <r>
    <x v="3"/>
    <x v="2"/>
    <x v="3"/>
    <x v="596"/>
    <n v="125"/>
    <n v="548875"/>
    <n v="189000"/>
    <n v="359875"/>
    <d v="2023-02-01T00:00:00"/>
    <s v="February"/>
    <n v="2023"/>
  </r>
  <r>
    <x v="4"/>
    <x v="3"/>
    <x v="3"/>
    <x v="597"/>
    <n v="20"/>
    <n v="53900"/>
    <n v="6060"/>
    <n v="47840"/>
    <d v="2023-04-01T00:00:00"/>
    <s v="April"/>
    <n v="2023"/>
  </r>
  <r>
    <x v="4"/>
    <x v="3"/>
    <x v="3"/>
    <x v="209"/>
    <n v="300"/>
    <n v="401100"/>
    <n v="615000"/>
    <n v="-213900"/>
    <d v="2023-07-01T00:00:00"/>
    <s v="July"/>
    <n v="2023"/>
  </r>
  <r>
    <x v="0"/>
    <x v="0"/>
    <x v="3"/>
    <x v="407"/>
    <n v="300"/>
    <n v="786300"/>
    <n v="67250"/>
    <n v="719050"/>
    <d v="2022-10-01T00:00:00"/>
    <s v="October"/>
    <n v="2022"/>
  </r>
  <r>
    <x v="1"/>
    <x v="0"/>
    <x v="3"/>
    <x v="598"/>
    <n v="300"/>
    <n v="1120500"/>
    <n v="634000"/>
    <n v="486500"/>
    <d v="2022-11-01T00:00:00"/>
    <s v="November"/>
    <n v="2022"/>
  </r>
  <r>
    <x v="3"/>
    <x v="2"/>
    <x v="4"/>
    <x v="599"/>
    <n v="7"/>
    <n v="30240"/>
    <n v="14515"/>
    <n v="15725"/>
    <d v="2023-03-01T00:00:00"/>
    <s v="March"/>
    <n v="2023"/>
  </r>
  <r>
    <x v="4"/>
    <x v="3"/>
    <x v="4"/>
    <x v="600"/>
    <n v="300"/>
    <n v="848400"/>
    <n v="635250"/>
    <n v="213150"/>
    <d v="2023-08-01T00:00:00"/>
    <s v="August"/>
    <n v="2023"/>
  </r>
  <r>
    <x v="0"/>
    <x v="0"/>
    <x v="4"/>
    <x v="185"/>
    <n v="300"/>
    <n v="775800"/>
    <n v="67250"/>
    <n v="708550"/>
    <d v="2022-10-01T00:00:00"/>
    <s v="October"/>
    <n v="2022"/>
  </r>
  <r>
    <x v="0"/>
    <x v="0"/>
    <x v="4"/>
    <x v="601"/>
    <n v="300"/>
    <n v="374400"/>
    <n v="374000"/>
    <n v="400"/>
    <d v="2023-10-01T00:00:00"/>
    <s v="October"/>
    <n v="2023"/>
  </r>
  <r>
    <x v="4"/>
    <x v="3"/>
    <x v="4"/>
    <x v="602"/>
    <n v="300"/>
    <n v="1210500"/>
    <n v="252500"/>
    <n v="958000"/>
    <d v="2023-10-01T00:00:00"/>
    <s v="October"/>
    <n v="2023"/>
  </r>
  <r>
    <x v="2"/>
    <x v="1"/>
    <x v="4"/>
    <x v="603"/>
    <n v="350"/>
    <n v="125650"/>
    <n v="333060"/>
    <n v="-207410"/>
    <d v="2022-12-01T00:00:00"/>
    <s v="December"/>
    <n v="2022"/>
  </r>
  <r>
    <x v="0"/>
    <x v="0"/>
    <x v="5"/>
    <x v="604"/>
    <n v="300"/>
    <n v="1177800"/>
    <n v="222000"/>
    <n v="955800"/>
    <d v="2023-03-01T00:00:00"/>
    <s v="March"/>
    <n v="2023"/>
  </r>
  <r>
    <x v="4"/>
    <x v="3"/>
    <x v="5"/>
    <x v="605"/>
    <n v="125"/>
    <n v="530875"/>
    <n v="341280"/>
    <n v="189595"/>
    <d v="2023-05-01T00:00:00"/>
    <s v="May"/>
    <n v="2023"/>
  </r>
  <r>
    <x v="2"/>
    <x v="1"/>
    <x v="5"/>
    <x v="597"/>
    <n v="12"/>
    <n v="32340"/>
    <n v="7425"/>
    <n v="24915"/>
    <d v="2023-08-01T00:00:00"/>
    <s v="August"/>
    <n v="2023"/>
  </r>
  <r>
    <x v="0"/>
    <x v="0"/>
    <x v="5"/>
    <x v="606"/>
    <n v="15"/>
    <n v="16560"/>
    <n v="17430"/>
    <n v="-870"/>
    <d v="2022-10-01T00:00:00"/>
    <s v="October"/>
    <n v="2022"/>
  </r>
  <r>
    <x v="4"/>
    <x v="3"/>
    <x v="5"/>
    <x v="607"/>
    <n v="12"/>
    <n v="17388"/>
    <n v="8742"/>
    <n v="8646"/>
    <d v="2023-10-01T00:00:00"/>
    <s v="October"/>
    <n v="2023"/>
  </r>
  <r>
    <x v="2"/>
    <x v="1"/>
    <x v="5"/>
    <x v="608"/>
    <n v="7"/>
    <n v="7917"/>
    <n v="8655"/>
    <n v="-738"/>
    <d v="2023-10-01T00:00:00"/>
    <s v="October"/>
    <n v="2023"/>
  </r>
  <r>
    <x v="3"/>
    <x v="2"/>
    <x v="5"/>
    <x v="609"/>
    <n v="7"/>
    <n v="10276"/>
    <n v="8635"/>
    <n v="1641"/>
    <d v="2022-10-01T00:00:00"/>
    <s v="October"/>
    <n v="2022"/>
  </r>
  <r>
    <x v="3"/>
    <x v="2"/>
    <x v="5"/>
    <x v="610"/>
    <n v="15"/>
    <n v="19080"/>
    <n v="18700"/>
    <n v="380"/>
    <d v="2022-11-01T00:00:00"/>
    <s v="November"/>
    <n v="2022"/>
  </r>
  <r>
    <x v="2"/>
    <x v="1"/>
    <x v="0"/>
    <x v="611"/>
    <n v="125"/>
    <n v="175375"/>
    <n v="140880"/>
    <n v="34495"/>
    <d v="2023-08-01T00:00:00"/>
    <s v="August"/>
    <n v="2023"/>
  </r>
  <r>
    <x v="1"/>
    <x v="0"/>
    <x v="0"/>
    <x v="612"/>
    <n v="125"/>
    <n v="270125"/>
    <n v="332040"/>
    <n v="-61915"/>
    <d v="2023-08-01T00:00:00"/>
    <s v="August"/>
    <n v="2023"/>
  </r>
  <r>
    <x v="1"/>
    <x v="0"/>
    <x v="0"/>
    <x v="613"/>
    <n v="125"/>
    <n v="242125"/>
    <n v="130200"/>
    <n v="111925"/>
    <d v="2023-10-01T00:00:00"/>
    <s v="October"/>
    <n v="2023"/>
  </r>
  <r>
    <x v="3"/>
    <x v="2"/>
    <x v="1"/>
    <x v="418"/>
    <n v="300"/>
    <n v="863700"/>
    <n v="136500"/>
    <n v="727200"/>
    <d v="2023-10-01T00:00:00"/>
    <s v="October"/>
    <n v="2023"/>
  </r>
  <r>
    <x v="1"/>
    <x v="0"/>
    <x v="2"/>
    <x v="614"/>
    <n v="20"/>
    <n v="26600"/>
    <n v="11580"/>
    <n v="15020"/>
    <d v="2023-03-01T00:00:00"/>
    <s v="March"/>
    <n v="2023"/>
  </r>
  <r>
    <x v="0"/>
    <x v="0"/>
    <x v="2"/>
    <x v="615"/>
    <n v="15"/>
    <n v="36390"/>
    <n v="16140"/>
    <n v="20250"/>
    <d v="2023-04-01T00:00:00"/>
    <s v="April"/>
    <n v="2023"/>
  </r>
  <r>
    <x v="3"/>
    <x v="2"/>
    <x v="2"/>
    <x v="616"/>
    <n v="7"/>
    <n v="14231"/>
    <n v="12675"/>
    <n v="1556"/>
    <d v="2023-04-01T00:00:00"/>
    <s v="April"/>
    <n v="2023"/>
  </r>
  <r>
    <x v="3"/>
    <x v="2"/>
    <x v="2"/>
    <x v="617"/>
    <n v="350"/>
    <n v="710150"/>
    <n v="741260"/>
    <n v="-31110"/>
    <d v="2023-05-01T00:00:00"/>
    <s v="May"/>
    <n v="2023"/>
  </r>
  <r>
    <x v="0"/>
    <x v="0"/>
    <x v="2"/>
    <x v="618"/>
    <n v="15"/>
    <n v="15735"/>
    <n v="25590"/>
    <n v="-9855"/>
    <d v="2023-08-01T00:00:00"/>
    <s v="August"/>
    <n v="2023"/>
  </r>
  <r>
    <x v="4"/>
    <x v="3"/>
    <x v="2"/>
    <x v="307"/>
    <n v="20"/>
    <n v="21240"/>
    <n v="2670"/>
    <n v="18570"/>
    <d v="2022-10-01T00:00:00"/>
    <s v="October"/>
    <n v="2022"/>
  </r>
  <r>
    <x v="1"/>
    <x v="0"/>
    <x v="2"/>
    <x v="619"/>
    <n v="125"/>
    <n v="313625"/>
    <n v="130200"/>
    <n v="183425"/>
    <d v="2023-10-01T00:00:00"/>
    <s v="October"/>
    <n v="2023"/>
  </r>
  <r>
    <x v="1"/>
    <x v="0"/>
    <x v="2"/>
    <x v="620"/>
    <n v="15"/>
    <n v="26145"/>
    <n v="11750"/>
    <n v="14395"/>
    <d v="2023-10-01T00:00:00"/>
    <s v="October"/>
    <n v="2023"/>
  </r>
  <r>
    <x v="4"/>
    <x v="3"/>
    <x v="2"/>
    <x v="621"/>
    <n v="350"/>
    <n v="1196300"/>
    <n v="521820"/>
    <n v="674480"/>
    <d v="2022-11-01T00:00:00"/>
    <s v="November"/>
    <n v="2022"/>
  </r>
  <r>
    <x v="3"/>
    <x v="2"/>
    <x v="2"/>
    <x v="622"/>
    <n v="350"/>
    <n v="612850"/>
    <n v="559260"/>
    <n v="53590"/>
    <d v="2022-11-01T00:00:00"/>
    <s v="November"/>
    <n v="2022"/>
  </r>
  <r>
    <x v="4"/>
    <x v="3"/>
    <x v="2"/>
    <x v="623"/>
    <n v="12"/>
    <n v="38736"/>
    <n v="2742"/>
    <n v="35994"/>
    <d v="2023-12-01T00:00:00"/>
    <s v="December"/>
    <n v="2023"/>
  </r>
  <r>
    <x v="2"/>
    <x v="1"/>
    <x v="2"/>
    <x v="146"/>
    <n v="20"/>
    <n v="22100"/>
    <n v="2930"/>
    <n v="19170"/>
    <d v="2023-12-01T00:00:00"/>
    <s v="December"/>
    <n v="2023"/>
  </r>
  <r>
    <x v="3"/>
    <x v="2"/>
    <x v="3"/>
    <x v="438"/>
    <n v="12"/>
    <n v="33336"/>
    <n v="1500"/>
    <n v="31836"/>
    <d v="2023-03-01T00:00:00"/>
    <s v="March"/>
    <n v="2023"/>
  </r>
  <r>
    <x v="2"/>
    <x v="1"/>
    <x v="3"/>
    <x v="624"/>
    <n v="15"/>
    <n v="17595"/>
    <n v="28260"/>
    <n v="-10665"/>
    <d v="2023-05-01T00:00:00"/>
    <s v="May"/>
    <n v="2023"/>
  </r>
  <r>
    <x v="2"/>
    <x v="1"/>
    <x v="3"/>
    <x v="625"/>
    <n v="125"/>
    <n v="395000"/>
    <n v="79560"/>
    <n v="315440"/>
    <d v="2023-09-01T00:00:00"/>
    <s v="September"/>
    <n v="2023"/>
  </r>
  <r>
    <x v="4"/>
    <x v="3"/>
    <x v="3"/>
    <x v="626"/>
    <n v="300"/>
    <n v="1296600"/>
    <n v="643500"/>
    <n v="653100"/>
    <d v="2022-11-01T00:00:00"/>
    <s v="November"/>
    <n v="2022"/>
  </r>
  <r>
    <x v="4"/>
    <x v="3"/>
    <x v="3"/>
    <x v="627"/>
    <n v="125"/>
    <n v="237625"/>
    <n v="292560"/>
    <n v="-54935"/>
    <d v="2022-12-01T00:00:00"/>
    <s v="December"/>
    <n v="2022"/>
  </r>
  <r>
    <x v="4"/>
    <x v="3"/>
    <x v="3"/>
    <x v="628"/>
    <n v="12"/>
    <n v="35760"/>
    <n v="2742"/>
    <n v="33018"/>
    <d v="2023-12-01T00:00:00"/>
    <s v="December"/>
    <n v="2023"/>
  </r>
  <r>
    <x v="0"/>
    <x v="0"/>
    <x v="4"/>
    <x v="629"/>
    <n v="20"/>
    <n v="81360"/>
    <n v="8655"/>
    <n v="72705"/>
    <d v="2023-07-01T00:00:00"/>
    <s v="July"/>
    <n v="2023"/>
  </r>
  <r>
    <x v="1"/>
    <x v="0"/>
    <x v="4"/>
    <x v="630"/>
    <n v="15"/>
    <n v="31575"/>
    <n v="4920"/>
    <n v="26655"/>
    <d v="2023-07-01T00:00:00"/>
    <s v="July"/>
    <n v="2023"/>
  </r>
  <r>
    <x v="4"/>
    <x v="3"/>
    <x v="4"/>
    <x v="631"/>
    <n v="20"/>
    <n v="32940"/>
    <n v="2670"/>
    <n v="30270"/>
    <d v="2022-10-01T00:00:00"/>
    <s v="October"/>
    <n v="2022"/>
  </r>
  <r>
    <x v="1"/>
    <x v="0"/>
    <x v="4"/>
    <x v="632"/>
    <n v="15"/>
    <n v="3525"/>
    <n v="11750"/>
    <n v="-8225"/>
    <d v="2023-10-01T00:00:00"/>
    <s v="October"/>
    <n v="2023"/>
  </r>
  <r>
    <x v="0"/>
    <x v="0"/>
    <x v="4"/>
    <x v="29"/>
    <n v="125"/>
    <n v="452125"/>
    <n v="354480"/>
    <n v="97645"/>
    <d v="2022-11-01T00:00:00"/>
    <s v="November"/>
    <n v="2022"/>
  </r>
  <r>
    <x v="1"/>
    <x v="0"/>
    <x v="4"/>
    <x v="112"/>
    <n v="125"/>
    <n v="263250"/>
    <n v="66240"/>
    <n v="197010"/>
    <d v="2023-11-01T00:00:00"/>
    <s v="November"/>
    <n v="2023"/>
  </r>
  <r>
    <x v="2"/>
    <x v="1"/>
    <x v="4"/>
    <x v="140"/>
    <n v="20"/>
    <n v="47020"/>
    <n v="2930"/>
    <n v="44090"/>
    <d v="2023-12-01T00:00:00"/>
    <s v="December"/>
    <n v="2023"/>
  </r>
  <r>
    <x v="2"/>
    <x v="1"/>
    <x v="5"/>
    <x v="633"/>
    <n v="300"/>
    <n v="569100"/>
    <n v="618750"/>
    <n v="-49650"/>
    <d v="2023-03-01T00:00:00"/>
    <s v="March"/>
    <n v="2023"/>
  </r>
  <r>
    <x v="3"/>
    <x v="2"/>
    <x v="5"/>
    <x v="372"/>
    <n v="300"/>
    <n v="194100"/>
    <n v="136500"/>
    <n v="57600"/>
    <d v="2023-10-01T00:00:00"/>
    <s v="October"/>
    <n v="2023"/>
  </r>
  <r>
    <x v="3"/>
    <x v="2"/>
    <x v="1"/>
    <x v="634"/>
    <n v="7"/>
    <n v="25347"/>
    <n v="6840"/>
    <n v="18507"/>
    <d v="2023-02-01T00:00:00"/>
    <s v="February"/>
    <n v="2023"/>
  </r>
  <r>
    <x v="0"/>
    <x v="0"/>
    <x v="2"/>
    <x v="229"/>
    <n v="7"/>
    <n v="22547"/>
    <n v="3615"/>
    <n v="18932"/>
    <d v="2023-04-01T00:00:00"/>
    <s v="April"/>
    <n v="2023"/>
  </r>
  <r>
    <x v="4"/>
    <x v="3"/>
    <x v="4"/>
    <x v="535"/>
    <n v="12"/>
    <n v="5916"/>
    <n v="5418"/>
    <n v="498"/>
    <d v="2023-05-01T00:00:00"/>
    <s v="May"/>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DB0841-EFD8-4228-B9C4-19B04EA6BE9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1">
    <pivotField showAll="0">
      <items count="6">
        <item x="3"/>
        <item x="1"/>
        <item x="0"/>
        <item x="2"/>
        <item x="4"/>
        <item t="default"/>
      </items>
    </pivotField>
    <pivotField showAll="0">
      <items count="5">
        <item x="0"/>
        <item x="1"/>
        <item x="3"/>
        <item x="2"/>
        <item t="default"/>
      </items>
    </pivotField>
    <pivotField showAll="0">
      <items count="7">
        <item x="3"/>
        <item x="0"/>
        <item x="5"/>
        <item x="4"/>
        <item x="1"/>
        <item x="2"/>
        <item t="default"/>
      </items>
    </pivotField>
    <pivotField dataField="1" showAll="0"/>
    <pivotField showAll="0"/>
    <pivotField dataField="1" showAll="0"/>
    <pivotField dataField="1" showAll="0"/>
    <pivotField dataField="1" showAll="0"/>
    <pivotField numFmtId="22" showAll="0"/>
    <pivotField showAll="0"/>
    <pivotField showAll="0"/>
  </pivotFields>
  <rowItems count="1">
    <i/>
  </rowItems>
  <colFields count="1">
    <field x="-2"/>
  </colFields>
  <colItems count="4">
    <i>
      <x/>
    </i>
    <i i="1">
      <x v="1"/>
    </i>
    <i i="2">
      <x v="2"/>
    </i>
    <i i="3">
      <x v="3"/>
    </i>
  </colItems>
  <dataFields count="4">
    <dataField name="Sum of Gross Sales" fld="5" baseField="0" baseItem="0"/>
    <dataField name="Sum of COGS" fld="6" baseField="0" baseItem="0"/>
    <dataField name="Sum of Units Sold" fld="3" baseField="0" baseItem="0"/>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2ADD25-3900-49EB-B282-A92AB7F491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1">
    <pivotField showAll="0">
      <items count="6">
        <item x="3"/>
        <item x="1"/>
        <item x="0"/>
        <item x="2"/>
        <item x="4"/>
        <item t="default"/>
      </items>
    </pivotField>
    <pivotField showAll="0">
      <items count="5">
        <item x="0"/>
        <item x="1"/>
        <item x="3"/>
        <item x="2"/>
        <item t="default"/>
      </items>
    </pivotField>
    <pivotField axis="axisRow" showAll="0">
      <items count="7">
        <item x="3"/>
        <item x="0"/>
        <item x="5"/>
        <item x="4"/>
        <item x="1"/>
        <item x="2"/>
        <item t="default"/>
      </items>
    </pivotField>
    <pivotField dataField="1" showAll="0"/>
    <pivotField showAll="0"/>
    <pivotField showAll="0"/>
    <pivotField showAll="0"/>
    <pivotField showAll="0"/>
    <pivotField numFmtId="22" showAll="0"/>
    <pivotField showAll="0"/>
    <pivotField showAll="0"/>
  </pivotFields>
  <rowFields count="1">
    <field x="2"/>
  </rowFields>
  <rowItems count="7">
    <i>
      <x/>
    </i>
    <i>
      <x v="1"/>
    </i>
    <i>
      <x v="2"/>
    </i>
    <i>
      <x v="3"/>
    </i>
    <i>
      <x v="4"/>
    </i>
    <i>
      <x v="5"/>
    </i>
    <i t="grand">
      <x/>
    </i>
  </rowItems>
  <colItems count="1">
    <i/>
  </colItems>
  <dataFields count="1">
    <dataField name="Sum of Units Sold" fld="3" baseField="0" baseItem="0"/>
  </dataFields>
  <chartFormats count="7">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 chart="5" format="4">
      <pivotArea type="data" outline="0" fieldPosition="0">
        <references count="2">
          <reference field="4294967294" count="1" selected="0">
            <x v="0"/>
          </reference>
          <reference field="2" count="1" selected="0">
            <x v="1"/>
          </reference>
        </references>
      </pivotArea>
    </chartFormat>
    <chartFormat chart="5" format="5">
      <pivotArea type="data" outline="0" fieldPosition="0">
        <references count="2">
          <reference field="4294967294" count="1" selected="0">
            <x v="0"/>
          </reference>
          <reference field="2" count="1" selected="0">
            <x v="2"/>
          </reference>
        </references>
      </pivotArea>
    </chartFormat>
    <chartFormat chart="5" format="6">
      <pivotArea type="data" outline="0" fieldPosition="0">
        <references count="2">
          <reference field="4294967294" count="1" selected="0">
            <x v="0"/>
          </reference>
          <reference field="2" count="1" selected="0">
            <x v="3"/>
          </reference>
        </references>
      </pivotArea>
    </chartFormat>
    <chartFormat chart="5" format="7">
      <pivotArea type="data" outline="0" fieldPosition="0">
        <references count="2">
          <reference field="4294967294" count="1" selected="0">
            <x v="0"/>
          </reference>
          <reference field="2" count="1" selected="0">
            <x v="4"/>
          </reference>
        </references>
      </pivotArea>
    </chartFormat>
    <chartFormat chart="5" format="8">
      <pivotArea type="data" outline="0" fieldPosition="0">
        <references count="2">
          <reference field="4294967294" count="1" selected="0">
            <x v="0"/>
          </reference>
          <reference field="2" count="1" selected="0">
            <x v="5"/>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26A6E-2DEC-44C3-8977-4FB5021D4B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H9" firstHeaderRow="1" firstDataRow="2" firstDataCol="1"/>
  <pivotFields count="11">
    <pivotField showAll="0">
      <items count="6">
        <item x="3"/>
        <item x="1"/>
        <item x="0"/>
        <item x="2"/>
        <item x="4"/>
        <item t="default"/>
      </items>
    </pivotField>
    <pivotField axis="axisRow" showAll="0">
      <items count="5">
        <item x="0"/>
        <item x="1"/>
        <item x="3"/>
        <item x="2"/>
        <item t="default"/>
      </items>
    </pivotField>
    <pivotField axis="axisCol" showAll="0">
      <items count="7">
        <item x="3"/>
        <item x="0"/>
        <item x="5"/>
        <item x="4"/>
        <item x="1"/>
        <item x="2"/>
        <item t="default"/>
      </items>
    </pivotField>
    <pivotField dataField="1" showAll="0">
      <items count="636">
        <item x="256"/>
        <item x="98"/>
        <item x="523"/>
        <item x="632"/>
        <item x="524"/>
        <item x="244"/>
        <item x="324"/>
        <item x="339"/>
        <item x="249"/>
        <item x="588"/>
        <item x="174"/>
        <item x="231"/>
        <item x="129"/>
        <item x="292"/>
        <item x="301"/>
        <item x="201"/>
        <item x="443"/>
        <item x="603"/>
        <item x="589"/>
        <item x="117"/>
        <item x="305"/>
        <item x="168"/>
        <item x="377"/>
        <item x="587"/>
        <item x="439"/>
        <item x="514"/>
        <item x="338"/>
        <item x="73"/>
        <item x="297"/>
        <item x="56"/>
        <item x="489"/>
        <item x="291"/>
        <item x="218"/>
        <item x="212"/>
        <item x="496"/>
        <item x="223"/>
        <item x="179"/>
        <item x="535"/>
        <item x="40"/>
        <item x="328"/>
        <item x="552"/>
        <item x="197"/>
        <item x="480"/>
        <item x="101"/>
        <item x="557"/>
        <item x="269"/>
        <item x="120"/>
        <item x="404"/>
        <item x="283"/>
        <item x="210"/>
        <item x="495"/>
        <item x="46"/>
        <item x="267"/>
        <item x="372"/>
        <item x="529"/>
        <item x="214"/>
        <item x="139"/>
        <item x="422"/>
        <item x="3"/>
        <item x="211"/>
        <item x="390"/>
        <item x="450"/>
        <item x="262"/>
        <item x="58"/>
        <item x="315"/>
        <item x="580"/>
        <item x="160"/>
        <item x="103"/>
        <item x="278"/>
        <item x="479"/>
        <item x="530"/>
        <item x="133"/>
        <item x="323"/>
        <item x="113"/>
        <item x="281"/>
        <item x="219"/>
        <item x="326"/>
        <item x="515"/>
        <item x="528"/>
        <item x="77"/>
        <item x="397"/>
        <item x="567"/>
        <item x="165"/>
        <item x="39"/>
        <item x="17"/>
        <item x="376"/>
        <item x="446"/>
        <item x="31"/>
        <item x="334"/>
        <item x="341"/>
        <item x="426"/>
        <item x="460"/>
        <item x="507"/>
        <item x="293"/>
        <item x="21"/>
        <item x="234"/>
        <item x="421"/>
        <item x="59"/>
        <item x="217"/>
        <item x="618"/>
        <item x="512"/>
        <item x="307"/>
        <item x="216"/>
        <item x="382"/>
        <item x="154"/>
        <item x="37"/>
        <item x="606"/>
        <item x="146"/>
        <item x="253"/>
        <item x="71"/>
        <item x="462"/>
        <item x="48"/>
        <item x="608"/>
        <item x="104"/>
        <item x="468"/>
        <item x="177"/>
        <item x="333"/>
        <item x="391"/>
        <item x="95"/>
        <item x="389"/>
        <item x="358"/>
        <item x="280"/>
        <item x="164"/>
        <item x="624"/>
        <item x="463"/>
        <item x="459"/>
        <item x="336"/>
        <item x="106"/>
        <item x="542"/>
        <item x="125"/>
        <item x="564"/>
        <item x="148"/>
        <item x="134"/>
        <item x="225"/>
        <item x="415"/>
        <item x="255"/>
        <item x="178"/>
        <item x="184"/>
        <item x="313"/>
        <item x="601"/>
        <item x="386"/>
        <item x="258"/>
        <item x="87"/>
        <item x="30"/>
        <item x="610"/>
        <item x="414"/>
        <item x="522"/>
        <item x="277"/>
        <item x="493"/>
        <item x="412"/>
        <item x="325"/>
        <item x="316"/>
        <item x="384"/>
        <item x="285"/>
        <item x="544"/>
        <item x="614"/>
        <item x="186"/>
        <item x="209"/>
        <item x="243"/>
        <item x="513"/>
        <item x="91"/>
        <item x="248"/>
        <item x="0"/>
        <item x="559"/>
        <item x="158"/>
        <item x="52"/>
        <item x="138"/>
        <item x="143"/>
        <item x="611"/>
        <item x="85"/>
        <item x="399"/>
        <item x="581"/>
        <item x="294"/>
        <item x="454"/>
        <item x="607"/>
        <item x="566"/>
        <item x="531"/>
        <item x="123"/>
        <item x="97"/>
        <item x="2"/>
        <item x="375"/>
        <item x="609"/>
        <item x="295"/>
        <item x="94"/>
        <item x="69"/>
        <item x="497"/>
        <item x="343"/>
        <item x="456"/>
        <item x="198"/>
        <item x="576"/>
        <item x="466"/>
        <item x="569"/>
        <item x="413"/>
        <item x="238"/>
        <item x="571"/>
        <item x="65"/>
        <item x="75"/>
        <item x="353"/>
        <item x="122"/>
        <item x="232"/>
        <item x="314"/>
        <item x="288"/>
        <item x="631"/>
        <item x="526"/>
        <item x="475"/>
        <item x="64"/>
        <item x="345"/>
        <item x="311"/>
        <item x="385"/>
        <item x="348"/>
        <item x="363"/>
        <item x="378"/>
        <item x="388"/>
        <item x="166"/>
        <item x="419"/>
        <item x="298"/>
        <item x="361"/>
        <item x="505"/>
        <item x="72"/>
        <item x="299"/>
        <item x="568"/>
        <item x="252"/>
        <item x="620"/>
        <item x="161"/>
        <item x="622"/>
        <item x="383"/>
        <item x="173"/>
        <item x="300"/>
        <item x="312"/>
        <item x="189"/>
        <item x="200"/>
        <item x="591"/>
        <item x="578"/>
        <item x="167"/>
        <item x="93"/>
        <item x="395"/>
        <item x="54"/>
        <item x="409"/>
        <item x="548"/>
        <item x="488"/>
        <item x="508"/>
        <item x="374"/>
        <item x="276"/>
        <item x="516"/>
        <item x="633"/>
        <item x="627"/>
        <item x="371"/>
        <item x="483"/>
        <item x="289"/>
        <item x="67"/>
        <item x="492"/>
        <item x="613"/>
        <item x="11"/>
        <item x="273"/>
        <item x="360"/>
        <item x="266"/>
        <item x="221"/>
        <item x="417"/>
        <item x="469"/>
        <item x="222"/>
        <item x="451"/>
        <item x="440"/>
        <item x="50"/>
        <item x="191"/>
        <item x="577"/>
        <item x="617"/>
        <item x="616"/>
        <item x="141"/>
        <item x="43"/>
        <item x="520"/>
        <item x="517"/>
        <item x="60"/>
        <item x="144"/>
        <item x="18"/>
        <item x="13"/>
        <item x="595"/>
        <item x="630"/>
        <item x="112"/>
        <item x="481"/>
        <item x="118"/>
        <item x="130"/>
        <item x="25"/>
        <item x="583"/>
        <item x="136"/>
        <item x="594"/>
        <item x="239"/>
        <item x="290"/>
        <item x="612"/>
        <item x="176"/>
        <item x="90"/>
        <item x="272"/>
        <item x="447"/>
        <item x="540"/>
        <item x="275"/>
        <item x="396"/>
        <item x="586"/>
        <item x="478"/>
        <item x="400"/>
        <item x="337"/>
        <item x="556"/>
        <item x="247"/>
        <item x="560"/>
        <item x="153"/>
        <item x="503"/>
        <item x="365"/>
        <item x="24"/>
        <item x="23"/>
        <item x="127"/>
        <item x="364"/>
        <item x="149"/>
        <item x="213"/>
        <item x="119"/>
        <item x="162"/>
        <item x="500"/>
        <item x="140"/>
        <item x="74"/>
        <item x="416"/>
        <item x="444"/>
        <item x="230"/>
        <item x="366"/>
        <item x="554"/>
        <item x="499"/>
        <item x="279"/>
        <item x="615"/>
        <item x="196"/>
        <item x="251"/>
        <item x="310"/>
        <item x="485"/>
        <item x="472"/>
        <item x="379"/>
        <item x="482"/>
        <item x="226"/>
        <item x="319"/>
        <item x="562"/>
        <item x="330"/>
        <item x="619"/>
        <item x="370"/>
        <item x="16"/>
        <item x="331"/>
        <item x="250"/>
        <item x="491"/>
        <item x="467"/>
        <item x="14"/>
        <item x="570"/>
        <item x="51"/>
        <item x="464"/>
        <item x="92"/>
        <item x="19"/>
        <item x="427"/>
        <item x="525"/>
        <item x="128"/>
        <item x="185"/>
        <item x="121"/>
        <item x="431"/>
        <item x="407"/>
        <item x="10"/>
        <item x="458"/>
        <item x="441"/>
        <item x="572"/>
        <item x="473"/>
        <item x="380"/>
        <item x="403"/>
        <item x="368"/>
        <item x="62"/>
        <item x="100"/>
        <item x="354"/>
        <item x="79"/>
        <item x="597"/>
        <item x="406"/>
        <item x="455"/>
        <item x="392"/>
        <item x="32"/>
        <item x="68"/>
        <item x="181"/>
        <item x="169"/>
        <item x="1"/>
        <item x="204"/>
        <item x="438"/>
        <item x="78"/>
        <item x="55"/>
        <item x="474"/>
        <item x="593"/>
        <item x="356"/>
        <item x="82"/>
        <item x="15"/>
        <item x="600"/>
        <item x="432"/>
        <item x="411"/>
        <item x="20"/>
        <item x="84"/>
        <item x="549"/>
        <item x="550"/>
        <item x="429"/>
        <item x="418"/>
        <item x="317"/>
        <item x="546"/>
        <item x="436"/>
        <item x="579"/>
        <item x="373"/>
        <item x="541"/>
        <item x="227"/>
        <item x="435"/>
        <item x="260"/>
        <item x="420"/>
        <item x="192"/>
        <item x="205"/>
        <item x="401"/>
        <item x="394"/>
        <item x="565"/>
        <item x="147"/>
        <item x="342"/>
        <item x="628"/>
        <item x="215"/>
        <item x="452"/>
        <item x="511"/>
        <item x="410"/>
        <item x="350"/>
        <item x="259"/>
        <item x="156"/>
        <item x="318"/>
        <item x="346"/>
        <item x="518"/>
        <item x="108"/>
        <item x="33"/>
        <item x="359"/>
        <item x="89"/>
        <item x="573"/>
        <item x="575"/>
        <item x="261"/>
        <item x="553"/>
        <item x="306"/>
        <item x="424"/>
        <item x="519"/>
        <item x="114"/>
        <item x="510"/>
        <item x="532"/>
        <item x="625"/>
        <item x="320"/>
        <item x="534"/>
        <item x="332"/>
        <item x="265"/>
        <item x="561"/>
        <item x="228"/>
        <item x="270"/>
        <item x="229"/>
        <item x="623"/>
        <item x="45"/>
        <item x="461"/>
        <item x="465"/>
        <item x="102"/>
        <item x="470"/>
        <item x="471"/>
        <item x="12"/>
        <item x="131"/>
        <item x="124"/>
        <item x="536"/>
        <item x="327"/>
        <item x="28"/>
        <item x="195"/>
        <item x="257"/>
        <item x="235"/>
        <item x="193"/>
        <item x="487"/>
        <item x="543"/>
        <item x="41"/>
        <item x="347"/>
        <item x="245"/>
        <item x="254"/>
        <item x="36"/>
        <item x="76"/>
        <item x="448"/>
        <item x="585"/>
        <item x="402"/>
        <item x="355"/>
        <item x="621"/>
        <item x="22"/>
        <item x="49"/>
        <item x="110"/>
        <item x="107"/>
        <item x="268"/>
        <item x="26"/>
        <item x="246"/>
        <item x="387"/>
        <item x="137"/>
        <item x="203"/>
        <item x="190"/>
        <item x="430"/>
        <item x="476"/>
        <item x="224"/>
        <item x="509"/>
        <item x="274"/>
        <item x="53"/>
        <item x="537"/>
        <item x="142"/>
        <item x="4"/>
        <item x="132"/>
        <item x="381"/>
        <item x="408"/>
        <item x="504"/>
        <item x="29"/>
        <item x="634"/>
        <item x="172"/>
        <item x="352"/>
        <item x="199"/>
        <item x="157"/>
        <item x="150"/>
        <item x="145"/>
        <item x="6"/>
        <item x="539"/>
        <item x="393"/>
        <item x="437"/>
        <item x="27"/>
        <item x="303"/>
        <item x="182"/>
        <item x="282"/>
        <item x="309"/>
        <item x="9"/>
        <item x="598"/>
        <item x="66"/>
        <item x="423"/>
        <item x="271"/>
        <item x="116"/>
        <item x="498"/>
        <item x="340"/>
        <item x="70"/>
        <item x="126"/>
        <item x="590"/>
        <item x="57"/>
        <item x="240"/>
        <item x="263"/>
        <item x="502"/>
        <item x="284"/>
        <item x="296"/>
        <item x="398"/>
        <item x="335"/>
        <item x="584"/>
        <item x="105"/>
        <item x="163"/>
        <item x="547"/>
        <item x="8"/>
        <item x="86"/>
        <item x="188"/>
        <item x="152"/>
        <item x="42"/>
        <item x="558"/>
        <item x="88"/>
        <item x="302"/>
        <item x="551"/>
        <item x="35"/>
        <item x="604"/>
        <item x="170"/>
        <item x="329"/>
        <item x="322"/>
        <item x="236"/>
        <item x="109"/>
        <item x="34"/>
        <item x="369"/>
        <item x="151"/>
        <item x="308"/>
        <item x="434"/>
        <item x="425"/>
        <item x="286"/>
        <item x="449"/>
        <item x="433"/>
        <item x="592"/>
        <item x="602"/>
        <item x="206"/>
        <item x="44"/>
        <item x="155"/>
        <item x="135"/>
        <item x="629"/>
        <item x="321"/>
        <item x="362"/>
        <item x="81"/>
        <item x="367"/>
        <item x="533"/>
        <item x="99"/>
        <item x="233"/>
        <item x="115"/>
        <item x="538"/>
        <item x="208"/>
        <item x="494"/>
        <item x="242"/>
        <item x="574"/>
        <item x="180"/>
        <item x="207"/>
        <item x="202"/>
        <item x="349"/>
        <item x="442"/>
        <item x="445"/>
        <item x="7"/>
        <item x="357"/>
        <item x="63"/>
        <item x="506"/>
        <item x="490"/>
        <item x="96"/>
        <item x="486"/>
        <item x="47"/>
        <item x="477"/>
        <item x="171"/>
        <item x="453"/>
        <item x="220"/>
        <item x="545"/>
        <item x="457"/>
        <item x="605"/>
        <item x="344"/>
        <item x="521"/>
        <item x="287"/>
        <item x="555"/>
        <item x="264"/>
        <item x="83"/>
        <item x="428"/>
        <item x="484"/>
        <item x="38"/>
        <item x="61"/>
        <item x="599"/>
        <item x="626"/>
        <item x="237"/>
        <item x="582"/>
        <item x="351"/>
        <item x="241"/>
        <item x="111"/>
        <item x="596"/>
        <item x="80"/>
        <item x="194"/>
        <item x="5"/>
        <item x="563"/>
        <item x="501"/>
        <item x="405"/>
        <item x="183"/>
        <item x="304"/>
        <item x="527"/>
        <item x="187"/>
        <item x="175"/>
        <item x="159"/>
        <item t="default"/>
      </items>
    </pivotField>
    <pivotField showAll="0"/>
    <pivotField showAll="0"/>
    <pivotField showAll="0"/>
    <pivotField showAll="0"/>
    <pivotField numFmtId="22" showAll="0"/>
    <pivotField showAll="0"/>
    <pivotField showAll="0"/>
  </pivotFields>
  <rowFields count="1">
    <field x="1"/>
  </rowFields>
  <rowItems count="5">
    <i>
      <x/>
    </i>
    <i>
      <x v="1"/>
    </i>
    <i>
      <x v="2"/>
    </i>
    <i>
      <x v="3"/>
    </i>
    <i t="grand">
      <x/>
    </i>
  </rowItems>
  <colFields count="1">
    <field x="2"/>
  </colFields>
  <colItems count="7">
    <i>
      <x/>
    </i>
    <i>
      <x v="1"/>
    </i>
    <i>
      <x v="2"/>
    </i>
    <i>
      <x v="3"/>
    </i>
    <i>
      <x v="4"/>
    </i>
    <i>
      <x v="5"/>
    </i>
    <i t="grand">
      <x/>
    </i>
  </colItems>
  <dataFields count="1">
    <dataField name="Sum of Units Sold" fld="3" baseField="0" baseItem="0"/>
  </dataFields>
  <formats count="1">
    <format dxfId="0">
      <pivotArea type="all" dataOnly="0" outline="0" fieldPosition="0"/>
    </format>
  </formats>
  <chartFormats count="7">
    <chartFormat chart="12" format="12" series="1">
      <pivotArea type="data" outline="0" fieldPosition="0">
        <references count="2">
          <reference field="4294967294" count="1" selected="0">
            <x v="0"/>
          </reference>
          <reference field="2" count="1" selected="0">
            <x v="0"/>
          </reference>
        </references>
      </pivotArea>
    </chartFormat>
    <chartFormat chart="12" format="13" series="1">
      <pivotArea type="data" outline="0" fieldPosition="0">
        <references count="2">
          <reference field="4294967294" count="1" selected="0">
            <x v="0"/>
          </reference>
          <reference field="2" count="1" selected="0">
            <x v="1"/>
          </reference>
        </references>
      </pivotArea>
    </chartFormat>
    <chartFormat chart="12" format="14" series="1">
      <pivotArea type="data" outline="0" fieldPosition="0">
        <references count="2">
          <reference field="4294967294" count="1" selected="0">
            <x v="0"/>
          </reference>
          <reference field="2" count="1" selected="0">
            <x v="2"/>
          </reference>
        </references>
      </pivotArea>
    </chartFormat>
    <chartFormat chart="12" format="15" series="1">
      <pivotArea type="data" outline="0" fieldPosition="0">
        <references count="2">
          <reference field="4294967294" count="1" selected="0">
            <x v="0"/>
          </reference>
          <reference field="2" count="1" selected="0">
            <x v="3"/>
          </reference>
        </references>
      </pivotArea>
    </chartFormat>
    <chartFormat chart="12" format="16" series="1">
      <pivotArea type="data" outline="0" fieldPosition="0">
        <references count="2">
          <reference field="4294967294" count="1" selected="0">
            <x v="0"/>
          </reference>
          <reference field="2" count="1" selected="0">
            <x v="4"/>
          </reference>
        </references>
      </pivotArea>
    </chartFormat>
    <chartFormat chart="12" format="17" series="1">
      <pivotArea type="data" outline="0" fieldPosition="0">
        <references count="2">
          <reference field="4294967294" count="1" selected="0">
            <x v="0"/>
          </reference>
          <reference field="2" count="1" selected="0">
            <x v="5"/>
          </reference>
        </references>
      </pivotArea>
    </chartFormat>
    <chartFormat chart="12" format="18"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2EA8CBC-1E8F-49BD-8C6D-0E246DFDB37D}" sourceName="Country">
  <pivotTables>
    <pivotTable tabId="3" name="PivotTable1"/>
    <pivotTable tabId="4" name="PivotTable2"/>
    <pivotTable tabId="6" name="PivotTable3"/>
  </pivotTables>
  <data>
    <tabular pivotCacheId="1376895810">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488D56-AE42-4C6C-90C7-F3191B3ACB69}" sourceName="Region">
  <pivotTables>
    <pivotTable tabId="3" name="PivotTable1"/>
    <pivotTable tabId="4" name="PivotTable2"/>
    <pivotTable tabId="6" name="PivotTable3"/>
  </pivotTables>
  <data>
    <tabular pivotCacheId="1376895810">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3B1948D-04B8-4BAF-9E27-6ED230173BA0}" sourceName="Product">
  <pivotTables>
    <pivotTable tabId="3" name="PivotTable1"/>
    <pivotTable tabId="4" name="PivotTable2"/>
    <pivotTable tabId="6" name="PivotTable3"/>
  </pivotTables>
  <data>
    <tabular pivotCacheId="1376895810">
      <items count="6">
        <i x="3" s="1"/>
        <i x="0" s="1"/>
        <i x="5"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77A8838-99A4-4F5B-A3F1-D3F3A84B699C}" cache="Slicer_Country" caption="Country" columnCount="5" showCaption="0" style="My style" rowHeight="230716"/>
  <slicer name="Region" xr10:uid="{9B347ABE-3D0C-4291-BF28-AB744E96CDF9}" cache="Slicer_Region" caption="Region" columnCount="4" showCaption="0" style="My style" rowHeight="230716"/>
  <slicer name="Product" xr10:uid="{EC9E9AFA-BE6E-42BF-83C8-68126DB7A848}" cache="Slicer_Product" caption="Product" columnCount="6" showCaption="0" style="My styl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CBD984-1BA1-434D-ADCD-ADDE6E31020D}" name="SalesData" displayName="SalesData" ref="A1:K701" totalsRowShown="0" headerRowDxfId="15" headerRowBorderDxfId="14" tableBorderDxfId="13" totalsRowBorderDxfId="12">
  <autoFilter ref="A1:K701" xr:uid="{063B21C7-DCDB-420D-8E5B-F0747CF17729}"/>
  <tableColumns count="11">
    <tableColumn id="1" xr3:uid="{E34C41A4-E3A6-4A8C-9B20-BDAE4159DAB4}" name="Country" dataDxfId="11"/>
    <tableColumn id="2" xr3:uid="{A35AF5B4-9046-4B17-8993-FD32F58077C7}" name="Region" dataDxfId="10"/>
    <tableColumn id="3" xr3:uid="{36CC5920-C954-441F-A7F1-B690769A433D}" name="Product" dataDxfId="9"/>
    <tableColumn id="4" xr3:uid="{8EE619DC-73C2-4704-AE12-E01CF8C961AC}" name="Units Sold" dataDxfId="8" dataCellStyle="Comma"/>
    <tableColumn id="5" xr3:uid="{F9248A94-6AAB-47D6-B1D2-107DFD8098C4}" name="Unit Price" dataDxfId="7" dataCellStyle="Comma"/>
    <tableColumn id="6" xr3:uid="{C90942F4-5554-4AAB-B7A3-9C5EE407EE34}" name="Gross Sales" dataDxfId="6" dataCellStyle="Comma">
      <calculatedColumnFormula>SUM(D2*E2)</calculatedColumnFormula>
    </tableColumn>
    <tableColumn id="7" xr3:uid="{5E311EE3-85F6-471D-8472-BECCF9C5866C}" name="COGS" dataDxfId="5" dataCellStyle="Comma"/>
    <tableColumn id="8" xr3:uid="{18C0B4DF-BB40-4B0B-8965-F3824A5AAA13}" name="Profit" dataDxfId="4" dataCellStyle="Comma">
      <calculatedColumnFormula>F2-G2</calculatedColumnFormula>
    </tableColumn>
    <tableColumn id="9" xr3:uid="{97050115-774A-48BF-90AC-34AA3F56CBDB}" name="Date" dataDxfId="3"/>
    <tableColumn id="10" xr3:uid="{8126FA8A-92E3-4E37-ABEE-A67054ADC1CF}" name="Month Name" dataDxfId="2"/>
    <tableColumn id="11" xr3:uid="{AEF74010-0249-4895-B075-EFF9A3E91E37}" name="Yea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9"/>
  <sheetViews>
    <sheetView showGridLines="0" zoomScale="88" workbookViewId="0">
      <selection activeCell="E8" sqref="E8"/>
    </sheetView>
  </sheetViews>
  <sheetFormatPr defaultRowHeight="14" x14ac:dyDescent="0.3"/>
  <cols>
    <col min="1" max="1" width="4" customWidth="1"/>
    <col min="2" max="2" width="18" customWidth="1"/>
    <col min="3" max="3" width="24" customWidth="1"/>
    <col min="4" max="4" width="18" customWidth="1"/>
    <col min="5" max="8" width="22" customWidth="1"/>
  </cols>
  <sheetData>
    <row r="1" spans="1:8" ht="27" customHeight="1" x14ac:dyDescent="0.3">
      <c r="A1" s="40" t="s">
        <v>51</v>
      </c>
      <c r="B1" s="40"/>
      <c r="C1" s="40"/>
      <c r="D1" s="40"/>
      <c r="E1" s="40"/>
      <c r="F1" s="40"/>
      <c r="G1" s="40"/>
      <c r="H1" s="40"/>
    </row>
    <row r="2" spans="1:8" ht="20" customHeight="1" x14ac:dyDescent="0.3">
      <c r="A2" s="41" t="s">
        <v>52</v>
      </c>
      <c r="B2" s="41"/>
      <c r="C2" s="41"/>
      <c r="D2" s="41"/>
      <c r="E2" s="41"/>
      <c r="F2" s="41"/>
      <c r="G2" s="41"/>
      <c r="H2" s="41"/>
    </row>
    <row r="3" spans="1:8" ht="16" customHeight="1" x14ac:dyDescent="0.3">
      <c r="A3" s="42" t="s">
        <v>118</v>
      </c>
      <c r="B3" s="42"/>
      <c r="C3" s="42"/>
      <c r="D3" s="42"/>
      <c r="E3" s="42"/>
      <c r="F3" s="42"/>
      <c r="G3" s="42"/>
      <c r="H3" s="42"/>
    </row>
    <row r="5" spans="1:8" ht="18" customHeight="1" x14ac:dyDescent="0.3">
      <c r="A5" s="43" t="s">
        <v>53</v>
      </c>
      <c r="B5" s="43"/>
      <c r="C5" s="43"/>
      <c r="D5" s="43"/>
      <c r="E5" s="43" t="s">
        <v>54</v>
      </c>
      <c r="F5" s="43"/>
      <c r="G5" s="43"/>
      <c r="H5" s="43"/>
    </row>
    <row r="6" spans="1:8" ht="18" customHeight="1" x14ac:dyDescent="0.3">
      <c r="B6" s="32" t="s">
        <v>55</v>
      </c>
      <c r="C6" s="39" t="s">
        <v>56</v>
      </c>
      <c r="D6" s="39"/>
    </row>
    <row r="7" spans="1:8" ht="27" customHeight="1" x14ac:dyDescent="0.3">
      <c r="B7" s="32" t="s">
        <v>57</v>
      </c>
      <c r="C7" s="39" t="s">
        <v>58</v>
      </c>
      <c r="D7" s="39"/>
    </row>
    <row r="8" spans="1:8" ht="18" customHeight="1" x14ac:dyDescent="0.3">
      <c r="B8" s="32" t="s">
        <v>59</v>
      </c>
      <c r="C8" s="39" t="s">
        <v>60</v>
      </c>
      <c r="D8" s="39"/>
    </row>
    <row r="9" spans="1:8" ht="18" customHeight="1" x14ac:dyDescent="0.3">
      <c r="B9" s="32" t="s">
        <v>61</v>
      </c>
      <c r="C9" s="39" t="s">
        <v>62</v>
      </c>
      <c r="D9" s="39"/>
      <c r="G9" s="44"/>
      <c r="H9" s="44"/>
    </row>
    <row r="10" spans="1:8" ht="24" customHeight="1" x14ac:dyDescent="0.3">
      <c r="B10" s="32" t="s">
        <v>63</v>
      </c>
      <c r="C10" s="39" t="s">
        <v>64</v>
      </c>
      <c r="D10" s="39"/>
      <c r="G10" s="44"/>
      <c r="H10" s="44"/>
    </row>
    <row r="11" spans="1:8" ht="24" customHeight="1" x14ac:dyDescent="0.3">
      <c r="B11" s="32" t="s">
        <v>65</v>
      </c>
      <c r="C11" s="39" t="s">
        <v>66</v>
      </c>
      <c r="D11" s="39"/>
    </row>
    <row r="12" spans="1:8" ht="24" customHeight="1" x14ac:dyDescent="0.3">
      <c r="B12" s="32" t="s">
        <v>67</v>
      </c>
      <c r="C12" s="39" t="s">
        <v>68</v>
      </c>
      <c r="D12" s="39"/>
    </row>
    <row r="14" spans="1:8" ht="18" customHeight="1" x14ac:dyDescent="0.3">
      <c r="A14" s="43" t="s">
        <v>69</v>
      </c>
      <c r="B14" s="43"/>
      <c r="C14" s="43"/>
      <c r="D14" s="43"/>
      <c r="E14" s="43"/>
      <c r="F14" s="43"/>
      <c r="G14" s="43"/>
      <c r="H14" s="43"/>
    </row>
    <row r="15" spans="1:8" ht="38" customHeight="1" x14ac:dyDescent="0.3">
      <c r="A15" s="46" t="s">
        <v>70</v>
      </c>
      <c r="B15" s="46"/>
      <c r="C15" s="46"/>
      <c r="D15" s="46"/>
      <c r="E15" s="46"/>
      <c r="F15" s="46"/>
      <c r="G15" s="46"/>
      <c r="H15" s="46"/>
    </row>
    <row r="16" spans="1:8" x14ac:dyDescent="0.3">
      <c r="A16" s="47"/>
      <c r="B16" s="47"/>
      <c r="C16" s="47"/>
      <c r="D16" s="47"/>
      <c r="E16" s="47"/>
      <c r="F16" s="47"/>
      <c r="G16" s="47"/>
      <c r="H16" s="47"/>
    </row>
    <row r="17" spans="1:8" ht="18" customHeight="1" x14ac:dyDescent="0.3">
      <c r="A17" s="43" t="s">
        <v>71</v>
      </c>
      <c r="B17" s="43"/>
      <c r="C17" s="43"/>
      <c r="D17" s="43"/>
      <c r="E17" s="43" t="s">
        <v>72</v>
      </c>
      <c r="F17" s="43"/>
      <c r="G17" s="43"/>
      <c r="H17" s="43"/>
    </row>
    <row r="18" spans="1:8" ht="16" customHeight="1" x14ac:dyDescent="0.3">
      <c r="B18" s="45" t="s">
        <v>73</v>
      </c>
      <c r="C18" s="45"/>
      <c r="D18" s="45"/>
      <c r="F18" s="44"/>
      <c r="G18" s="44"/>
      <c r="H18" s="44"/>
    </row>
    <row r="19" spans="1:8" ht="16" customHeight="1" x14ac:dyDescent="0.3">
      <c r="B19" s="45" t="s">
        <v>74</v>
      </c>
      <c r="C19" s="45"/>
      <c r="D19" s="45"/>
      <c r="F19" s="44"/>
      <c r="G19" s="44"/>
      <c r="H19" s="44"/>
    </row>
    <row r="20" spans="1:8" ht="16" customHeight="1" x14ac:dyDescent="0.3">
      <c r="B20" s="45" t="s">
        <v>75</v>
      </c>
      <c r="C20" s="45"/>
      <c r="D20" s="45"/>
      <c r="F20" s="44"/>
      <c r="G20" s="44"/>
      <c r="H20" s="44"/>
    </row>
    <row r="21" spans="1:8" ht="16" customHeight="1" x14ac:dyDescent="0.3">
      <c r="B21" s="45" t="s">
        <v>76</v>
      </c>
      <c r="C21" s="45"/>
      <c r="D21" s="45"/>
      <c r="F21" s="44"/>
      <c r="G21" s="44"/>
      <c r="H21" s="44"/>
    </row>
    <row r="22" spans="1:8" ht="16" customHeight="1" x14ac:dyDescent="0.3">
      <c r="B22" s="45" t="s">
        <v>77</v>
      </c>
      <c r="C22" s="45"/>
      <c r="D22" s="45"/>
      <c r="F22" s="44"/>
      <c r="G22" s="44"/>
      <c r="H22" s="44"/>
    </row>
    <row r="23" spans="1:8" ht="16" customHeight="1" x14ac:dyDescent="0.3">
      <c r="B23" s="45" t="s">
        <v>78</v>
      </c>
      <c r="C23" s="45"/>
      <c r="D23" s="45"/>
      <c r="F23" s="44"/>
      <c r="G23" s="44"/>
      <c r="H23" s="44"/>
    </row>
    <row r="24" spans="1:8" ht="16" customHeight="1" x14ac:dyDescent="0.3">
      <c r="B24" s="45" t="s">
        <v>79</v>
      </c>
      <c r="C24" s="45"/>
      <c r="D24" s="45"/>
      <c r="F24" s="44"/>
      <c r="G24" s="44"/>
      <c r="H24" s="44"/>
    </row>
    <row r="25" spans="1:8" ht="16" customHeight="1" x14ac:dyDescent="0.3">
      <c r="B25" s="45" t="s">
        <v>80</v>
      </c>
      <c r="C25" s="45"/>
      <c r="D25" s="45"/>
    </row>
    <row r="26" spans="1:8" ht="16" customHeight="1" x14ac:dyDescent="0.3">
      <c r="B26" s="45" t="s">
        <v>81</v>
      </c>
      <c r="C26" s="45"/>
      <c r="D26" s="45"/>
    </row>
    <row r="27" spans="1:8" ht="16" customHeight="1" x14ac:dyDescent="0.3">
      <c r="B27" s="45" t="s">
        <v>82</v>
      </c>
      <c r="C27" s="45"/>
      <c r="D27" s="45"/>
    </row>
    <row r="28" spans="1:8" ht="16" customHeight="1" x14ac:dyDescent="0.3">
      <c r="B28" s="45" t="s">
        <v>83</v>
      </c>
      <c r="C28" s="45"/>
      <c r="D28" s="45"/>
    </row>
    <row r="30" spans="1:8" ht="18" customHeight="1" x14ac:dyDescent="0.3">
      <c r="A30" s="43" t="s">
        <v>84</v>
      </c>
      <c r="B30" s="43"/>
      <c r="C30" s="43"/>
      <c r="D30" s="43"/>
      <c r="E30" s="43"/>
      <c r="F30" s="43"/>
      <c r="G30" s="43"/>
      <c r="H30" s="43"/>
    </row>
    <row r="31" spans="1:8" ht="18" customHeight="1" x14ac:dyDescent="0.3">
      <c r="B31" s="33" t="s">
        <v>85</v>
      </c>
      <c r="C31" s="33" t="s">
        <v>86</v>
      </c>
      <c r="D31" s="48" t="s">
        <v>87</v>
      </c>
      <c r="E31" s="48"/>
      <c r="F31" s="48"/>
      <c r="G31" s="48"/>
      <c r="H31" s="48"/>
    </row>
    <row r="32" spans="1:8" ht="20" customHeight="1" x14ac:dyDescent="0.3">
      <c r="B32" s="35" t="s">
        <v>88</v>
      </c>
      <c r="C32" s="34" t="s">
        <v>89</v>
      </c>
      <c r="D32" s="39" t="s">
        <v>90</v>
      </c>
      <c r="E32" s="39"/>
      <c r="F32" s="39"/>
      <c r="G32" s="39"/>
      <c r="H32" s="39"/>
    </row>
    <row r="33" spans="1:8" ht="20" customHeight="1" x14ac:dyDescent="0.3">
      <c r="B33" s="35" t="s">
        <v>91</v>
      </c>
      <c r="C33" s="34" t="s">
        <v>92</v>
      </c>
      <c r="D33" s="39" t="s">
        <v>93</v>
      </c>
      <c r="E33" s="39"/>
      <c r="F33" s="39"/>
      <c r="G33" s="39"/>
      <c r="H33" s="39"/>
    </row>
    <row r="34" spans="1:8" ht="20" customHeight="1" x14ac:dyDescent="0.3">
      <c r="B34" s="35" t="s">
        <v>94</v>
      </c>
      <c r="C34" s="34" t="s">
        <v>95</v>
      </c>
      <c r="D34" s="39" t="s">
        <v>96</v>
      </c>
      <c r="E34" s="39"/>
      <c r="F34" s="39"/>
      <c r="G34" s="39"/>
      <c r="H34" s="39"/>
    </row>
    <row r="35" spans="1:8" ht="20" customHeight="1" x14ac:dyDescent="0.3">
      <c r="B35" s="35" t="s">
        <v>97</v>
      </c>
      <c r="C35" s="34" t="s">
        <v>98</v>
      </c>
      <c r="D35" s="39" t="s">
        <v>99</v>
      </c>
      <c r="E35" s="39"/>
      <c r="F35" s="39"/>
      <c r="G35" s="39"/>
      <c r="H35" s="39"/>
    </row>
    <row r="36" spans="1:8" ht="20" customHeight="1" x14ac:dyDescent="0.3">
      <c r="B36" s="35" t="s">
        <v>100</v>
      </c>
      <c r="C36" s="34" t="s">
        <v>101</v>
      </c>
      <c r="D36" s="39" t="s">
        <v>102</v>
      </c>
      <c r="E36" s="39"/>
      <c r="F36" s="39"/>
      <c r="G36" s="39"/>
      <c r="H36" s="39"/>
    </row>
    <row r="37" spans="1:8" ht="20" customHeight="1" x14ac:dyDescent="0.3">
      <c r="B37" s="35" t="s">
        <v>103</v>
      </c>
      <c r="C37" s="34" t="s">
        <v>104</v>
      </c>
      <c r="D37" s="39" t="s">
        <v>105</v>
      </c>
      <c r="E37" s="39"/>
      <c r="F37" s="39"/>
      <c r="G37" s="39"/>
      <c r="H37" s="39"/>
    </row>
    <row r="38" spans="1:8" ht="20" customHeight="1" x14ac:dyDescent="0.3">
      <c r="B38" s="35" t="s">
        <v>106</v>
      </c>
      <c r="C38" s="34" t="s">
        <v>107</v>
      </c>
      <c r="D38" s="39" t="s">
        <v>108</v>
      </c>
      <c r="E38" s="39"/>
      <c r="F38" s="39"/>
      <c r="G38" s="39"/>
      <c r="H38" s="39"/>
    </row>
    <row r="40" spans="1:8" ht="18" customHeight="1" x14ac:dyDescent="0.3">
      <c r="A40" s="43" t="s">
        <v>109</v>
      </c>
      <c r="B40" s="43"/>
      <c r="C40" s="43"/>
      <c r="D40" s="43"/>
      <c r="E40" s="43" t="s">
        <v>110</v>
      </c>
      <c r="F40" s="43"/>
      <c r="G40" s="43"/>
      <c r="H40" s="43"/>
    </row>
    <row r="41" spans="1:8" ht="17" customHeight="1" x14ac:dyDescent="0.3">
      <c r="B41" s="45" t="s">
        <v>111</v>
      </c>
      <c r="C41" s="45"/>
      <c r="D41" s="45"/>
      <c r="F41" s="44"/>
      <c r="G41" s="44"/>
      <c r="H41" s="44"/>
    </row>
    <row r="42" spans="1:8" ht="17" customHeight="1" x14ac:dyDescent="0.3">
      <c r="B42" s="45" t="s">
        <v>112</v>
      </c>
      <c r="C42" s="45"/>
      <c r="D42" s="45"/>
      <c r="F42" s="44"/>
      <c r="G42" s="44"/>
      <c r="H42" s="44"/>
    </row>
    <row r="43" spans="1:8" ht="17" customHeight="1" x14ac:dyDescent="0.3">
      <c r="B43" s="45" t="s">
        <v>113</v>
      </c>
      <c r="C43" s="45"/>
      <c r="D43" s="45"/>
      <c r="F43" s="44"/>
      <c r="G43" s="44"/>
      <c r="H43" s="44"/>
    </row>
    <row r="44" spans="1:8" ht="17" customHeight="1" x14ac:dyDescent="0.3">
      <c r="B44" s="45" t="s">
        <v>114</v>
      </c>
      <c r="C44" s="45"/>
      <c r="D44" s="45"/>
      <c r="F44" s="44"/>
      <c r="G44" s="44"/>
      <c r="H44" s="44"/>
    </row>
    <row r="45" spans="1:8" ht="17" customHeight="1" x14ac:dyDescent="0.3">
      <c r="B45" s="45" t="s">
        <v>115</v>
      </c>
      <c r="C45" s="45"/>
      <c r="D45" s="45"/>
    </row>
    <row r="46" spans="1:8" ht="17" customHeight="1" x14ac:dyDescent="0.3">
      <c r="B46" s="45" t="s">
        <v>116</v>
      </c>
      <c r="C46" s="45"/>
      <c r="D46" s="45"/>
    </row>
    <row r="48" spans="1:8" ht="28" customHeight="1" x14ac:dyDescent="0.3">
      <c r="A48" s="49" t="s">
        <v>117</v>
      </c>
      <c r="B48" s="49"/>
      <c r="C48" s="49"/>
      <c r="D48" s="49"/>
      <c r="E48" s="49"/>
      <c r="F48" s="49"/>
      <c r="G48" s="49"/>
      <c r="H48" s="49"/>
    </row>
    <row r="49" spans="1:8" x14ac:dyDescent="0.3">
      <c r="A49" s="44"/>
      <c r="B49" s="44"/>
      <c r="C49" s="44"/>
      <c r="D49" s="44"/>
      <c r="E49" s="44"/>
      <c r="F49" s="44"/>
      <c r="G49" s="44"/>
      <c r="H49" s="44"/>
    </row>
  </sheetData>
  <mergeCells count="58">
    <mergeCell ref="A48:H49"/>
    <mergeCell ref="B46:D46"/>
    <mergeCell ref="F41:H41"/>
    <mergeCell ref="F42:H42"/>
    <mergeCell ref="F43:H43"/>
    <mergeCell ref="F44:H44"/>
    <mergeCell ref="B41:D41"/>
    <mergeCell ref="B42:D42"/>
    <mergeCell ref="B43:D43"/>
    <mergeCell ref="B44:D44"/>
    <mergeCell ref="B45:D45"/>
    <mergeCell ref="D35:H35"/>
    <mergeCell ref="D36:H36"/>
    <mergeCell ref="D37:H37"/>
    <mergeCell ref="D38:H38"/>
    <mergeCell ref="A40:D40"/>
    <mergeCell ref="E40:H40"/>
    <mergeCell ref="A30:H30"/>
    <mergeCell ref="D31:H31"/>
    <mergeCell ref="D32:H32"/>
    <mergeCell ref="D33:H33"/>
    <mergeCell ref="D34:H34"/>
    <mergeCell ref="B28:D28"/>
    <mergeCell ref="F18:H18"/>
    <mergeCell ref="F19:H19"/>
    <mergeCell ref="F20:H20"/>
    <mergeCell ref="F21:H21"/>
    <mergeCell ref="F22:H22"/>
    <mergeCell ref="F23:H23"/>
    <mergeCell ref="F24:H24"/>
    <mergeCell ref="B23:D23"/>
    <mergeCell ref="B24:D24"/>
    <mergeCell ref="B25:D25"/>
    <mergeCell ref="B26:D26"/>
    <mergeCell ref="B27:D27"/>
    <mergeCell ref="B19:D19"/>
    <mergeCell ref="B20:D20"/>
    <mergeCell ref="B21:D21"/>
    <mergeCell ref="B22:D22"/>
    <mergeCell ref="A14:H14"/>
    <mergeCell ref="A15:H16"/>
    <mergeCell ref="A17:D17"/>
    <mergeCell ref="E17:H17"/>
    <mergeCell ref="B18:D18"/>
    <mergeCell ref="C10:D10"/>
    <mergeCell ref="C11:D11"/>
    <mergeCell ref="G9:H9"/>
    <mergeCell ref="G10:H10"/>
    <mergeCell ref="C12:D12"/>
    <mergeCell ref="C6:D6"/>
    <mergeCell ref="C7:D7"/>
    <mergeCell ref="C8:D8"/>
    <mergeCell ref="C9:D9"/>
    <mergeCell ref="A1:H1"/>
    <mergeCell ref="A2:H2"/>
    <mergeCell ref="A3:H3"/>
    <mergeCell ref="A5:D5"/>
    <mergeCell ref="E5:H5"/>
  </mergeCells>
  <pageMargins left="0.25" right="0.25" top="0.35" bottom="0.35" header="0.15" footer="0.15"/>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79DE5-21CE-4FC5-BBEA-0646284D6F38}">
  <dimension ref="A1:O701"/>
  <sheetViews>
    <sheetView zoomScale="115" workbookViewId="0">
      <selection activeCell="H1" sqref="H1:H1048576"/>
    </sheetView>
  </sheetViews>
  <sheetFormatPr defaultColWidth="8.83203125" defaultRowHeight="14.5" x14ac:dyDescent="0.35"/>
  <cols>
    <col min="1" max="1" width="10.4140625" style="1" customWidth="1"/>
    <col min="2" max="2" width="12.33203125" style="1" bestFit="1" customWidth="1"/>
    <col min="3" max="3" width="11.83203125" style="1" customWidth="1"/>
    <col min="4" max="4" width="11" style="1" customWidth="1"/>
    <col min="5" max="5" width="13" style="2" bestFit="1" customWidth="1"/>
    <col min="6" max="6" width="12.33203125" style="1" customWidth="1"/>
    <col min="7" max="7" width="9.58203125" style="1" bestFit="1" customWidth="1"/>
    <col min="8" max="8" width="10.58203125" style="1" bestFit="1" customWidth="1"/>
    <col min="9" max="9" width="10.5" style="1" bestFit="1" customWidth="1"/>
    <col min="10" max="10" width="13" style="1" customWidth="1"/>
    <col min="11" max="11" width="7.1640625" style="1" bestFit="1" customWidth="1"/>
    <col min="12" max="16384" width="8.83203125" style="1"/>
  </cols>
  <sheetData>
    <row r="1" spans="1:15" x14ac:dyDescent="0.35">
      <c r="A1" s="18" t="s">
        <v>37</v>
      </c>
      <c r="B1" s="16" t="s">
        <v>36</v>
      </c>
      <c r="C1" s="16" t="s">
        <v>35</v>
      </c>
      <c r="D1" s="16" t="s">
        <v>34</v>
      </c>
      <c r="E1" s="17" t="s">
        <v>33</v>
      </c>
      <c r="F1" s="16" t="s">
        <v>32</v>
      </c>
      <c r="G1" s="16" t="s">
        <v>31</v>
      </c>
      <c r="H1" s="16" t="s">
        <v>30</v>
      </c>
      <c r="I1" s="16" t="s">
        <v>29</v>
      </c>
      <c r="J1" s="16" t="s">
        <v>28</v>
      </c>
      <c r="K1" s="15" t="s">
        <v>27</v>
      </c>
    </row>
    <row r="2" spans="1:15" x14ac:dyDescent="0.35">
      <c r="A2" s="14" t="s">
        <v>7</v>
      </c>
      <c r="B2" s="10" t="s">
        <v>6</v>
      </c>
      <c r="C2" s="10" t="s">
        <v>24</v>
      </c>
      <c r="D2" s="12">
        <v>1372</v>
      </c>
      <c r="E2" s="13">
        <v>20</v>
      </c>
      <c r="F2" s="12">
        <f t="shared" ref="F2:F65" si="0">SUM(D2*E2)</f>
        <v>27440</v>
      </c>
      <c r="G2" s="12">
        <v>16185</v>
      </c>
      <c r="H2" s="12">
        <f t="shared" ref="H2:H65" si="1">F2-G2</f>
        <v>11255</v>
      </c>
      <c r="I2" s="11">
        <v>44927</v>
      </c>
      <c r="J2" s="10" t="s">
        <v>25</v>
      </c>
      <c r="K2" s="9">
        <v>2023</v>
      </c>
      <c r="M2"/>
      <c r="N2"/>
      <c r="O2"/>
    </row>
    <row r="3" spans="1:15" x14ac:dyDescent="0.35">
      <c r="A3" s="14" t="s">
        <v>19</v>
      </c>
      <c r="B3" s="10" t="s">
        <v>6</v>
      </c>
      <c r="C3" s="10" t="s">
        <v>24</v>
      </c>
      <c r="D3" s="12">
        <v>2762</v>
      </c>
      <c r="E3" s="13">
        <v>20</v>
      </c>
      <c r="F3" s="12">
        <f t="shared" si="0"/>
        <v>55240</v>
      </c>
      <c r="G3" s="12">
        <v>13210</v>
      </c>
      <c r="H3" s="12">
        <f t="shared" si="1"/>
        <v>42030</v>
      </c>
      <c r="I3" s="11">
        <v>44927</v>
      </c>
      <c r="J3" s="10" t="s">
        <v>25</v>
      </c>
      <c r="K3" s="9">
        <v>2023</v>
      </c>
      <c r="M3"/>
      <c r="N3"/>
      <c r="O3"/>
    </row>
    <row r="4" spans="1:15" x14ac:dyDescent="0.35">
      <c r="A4" s="14" t="s">
        <v>16</v>
      </c>
      <c r="B4" s="10" t="s">
        <v>15</v>
      </c>
      <c r="C4" s="10" t="s">
        <v>24</v>
      </c>
      <c r="D4" s="12">
        <v>1464</v>
      </c>
      <c r="E4" s="13">
        <v>15</v>
      </c>
      <c r="F4" s="12">
        <f t="shared" si="0"/>
        <v>21960</v>
      </c>
      <c r="G4" s="12">
        <v>21780</v>
      </c>
      <c r="H4" s="12">
        <f t="shared" si="1"/>
        <v>180</v>
      </c>
      <c r="I4" s="11">
        <v>45078</v>
      </c>
      <c r="J4" s="10" t="s">
        <v>26</v>
      </c>
      <c r="K4" s="9">
        <v>2023</v>
      </c>
      <c r="M4"/>
      <c r="N4"/>
      <c r="O4"/>
    </row>
    <row r="5" spans="1:15" x14ac:dyDescent="0.35">
      <c r="A5" s="14" t="s">
        <v>19</v>
      </c>
      <c r="B5" s="10" t="s">
        <v>6</v>
      </c>
      <c r="C5" s="10" t="s">
        <v>24</v>
      </c>
      <c r="D5" s="12">
        <v>719</v>
      </c>
      <c r="E5" s="13">
        <v>15</v>
      </c>
      <c r="F5" s="12">
        <f t="shared" si="0"/>
        <v>10785</v>
      </c>
      <c r="G5" s="12">
        <v>8880</v>
      </c>
      <c r="H5" s="12">
        <f t="shared" si="1"/>
        <v>1905</v>
      </c>
      <c r="I5" s="11">
        <v>45078</v>
      </c>
      <c r="J5" s="10" t="s">
        <v>26</v>
      </c>
      <c r="K5" s="9">
        <v>2023</v>
      </c>
      <c r="M5"/>
      <c r="N5"/>
      <c r="O5"/>
    </row>
    <row r="6" spans="1:15" x14ac:dyDescent="0.35">
      <c r="A6" s="14" t="s">
        <v>11</v>
      </c>
      <c r="B6" s="10" t="s">
        <v>10</v>
      </c>
      <c r="C6" s="10" t="s">
        <v>24</v>
      </c>
      <c r="D6" s="12">
        <v>3576</v>
      </c>
      <c r="E6" s="13">
        <v>15</v>
      </c>
      <c r="F6" s="12">
        <f t="shared" si="0"/>
        <v>53640</v>
      </c>
      <c r="G6" s="12">
        <v>24700</v>
      </c>
      <c r="H6" s="12">
        <f t="shared" si="1"/>
        <v>28940</v>
      </c>
      <c r="I6" s="11">
        <v>45078</v>
      </c>
      <c r="J6" s="10" t="s">
        <v>26</v>
      </c>
      <c r="K6" s="9">
        <v>2023</v>
      </c>
      <c r="M6"/>
      <c r="N6"/>
      <c r="O6"/>
    </row>
    <row r="7" spans="1:15" x14ac:dyDescent="0.35">
      <c r="A7" s="14" t="s">
        <v>19</v>
      </c>
      <c r="B7" s="10" t="s">
        <v>6</v>
      </c>
      <c r="C7" s="10" t="s">
        <v>24</v>
      </c>
      <c r="D7" s="12">
        <v>4422</v>
      </c>
      <c r="E7" s="13">
        <v>350</v>
      </c>
      <c r="F7" s="12">
        <f t="shared" si="0"/>
        <v>1547700</v>
      </c>
      <c r="G7" s="12">
        <v>393380</v>
      </c>
      <c r="H7" s="12">
        <f t="shared" si="1"/>
        <v>1154320</v>
      </c>
      <c r="I7" s="11">
        <v>45261</v>
      </c>
      <c r="J7" s="10" t="s">
        <v>17</v>
      </c>
      <c r="K7" s="9">
        <v>2023</v>
      </c>
      <c r="M7"/>
      <c r="N7"/>
      <c r="O7"/>
    </row>
    <row r="8" spans="1:15" x14ac:dyDescent="0.35">
      <c r="A8" s="14" t="s">
        <v>19</v>
      </c>
      <c r="B8" s="10" t="s">
        <v>6</v>
      </c>
      <c r="C8" s="10" t="s">
        <v>9</v>
      </c>
      <c r="D8" s="12">
        <v>3649</v>
      </c>
      <c r="E8" s="13">
        <v>15</v>
      </c>
      <c r="F8" s="12">
        <f t="shared" si="0"/>
        <v>54735</v>
      </c>
      <c r="G8" s="12">
        <v>9210</v>
      </c>
      <c r="H8" s="12">
        <f t="shared" si="1"/>
        <v>45525</v>
      </c>
      <c r="I8" s="11">
        <v>44986</v>
      </c>
      <c r="J8" s="10" t="s">
        <v>14</v>
      </c>
      <c r="K8" s="9">
        <v>2023</v>
      </c>
    </row>
    <row r="9" spans="1:15" x14ac:dyDescent="0.35">
      <c r="A9" s="14" t="s">
        <v>7</v>
      </c>
      <c r="B9" s="10" t="s">
        <v>6</v>
      </c>
      <c r="C9" s="10" t="s">
        <v>9</v>
      </c>
      <c r="D9" s="12">
        <v>4172</v>
      </c>
      <c r="E9" s="13">
        <v>12</v>
      </c>
      <c r="F9" s="12">
        <f t="shared" si="0"/>
        <v>50064</v>
      </c>
      <c r="G9" s="12">
        <v>7554</v>
      </c>
      <c r="H9" s="12">
        <f t="shared" si="1"/>
        <v>42510</v>
      </c>
      <c r="I9" s="11">
        <v>45078</v>
      </c>
      <c r="J9" s="10" t="s">
        <v>26</v>
      </c>
      <c r="K9" s="9">
        <v>2023</v>
      </c>
    </row>
    <row r="10" spans="1:15" x14ac:dyDescent="0.35">
      <c r="A10" s="14" t="s">
        <v>16</v>
      </c>
      <c r="B10" s="10" t="s">
        <v>15</v>
      </c>
      <c r="C10" s="10" t="s">
        <v>9</v>
      </c>
      <c r="D10" s="12">
        <v>3841</v>
      </c>
      <c r="E10" s="13">
        <v>20</v>
      </c>
      <c r="F10" s="12">
        <f t="shared" si="0"/>
        <v>76820</v>
      </c>
      <c r="G10" s="12">
        <v>18990</v>
      </c>
      <c r="H10" s="12">
        <f t="shared" si="1"/>
        <v>57830</v>
      </c>
      <c r="I10" s="11">
        <v>45078</v>
      </c>
      <c r="J10" s="10" t="s">
        <v>26</v>
      </c>
      <c r="K10" s="9">
        <v>2023</v>
      </c>
    </row>
    <row r="11" spans="1:15" x14ac:dyDescent="0.35">
      <c r="A11" s="14" t="s">
        <v>19</v>
      </c>
      <c r="B11" s="10" t="s">
        <v>6</v>
      </c>
      <c r="C11" s="10" t="s">
        <v>9</v>
      </c>
      <c r="D11" s="12">
        <v>3726</v>
      </c>
      <c r="E11" s="13">
        <v>12</v>
      </c>
      <c r="F11" s="12">
        <f t="shared" si="0"/>
        <v>44712</v>
      </c>
      <c r="G11" s="12">
        <v>4635</v>
      </c>
      <c r="H11" s="12">
        <f t="shared" si="1"/>
        <v>40077</v>
      </c>
      <c r="I11" s="11">
        <v>45078</v>
      </c>
      <c r="J11" s="10" t="s">
        <v>26</v>
      </c>
      <c r="K11" s="9">
        <v>2023</v>
      </c>
    </row>
    <row r="12" spans="1:15" x14ac:dyDescent="0.35">
      <c r="A12" s="14" t="s">
        <v>11</v>
      </c>
      <c r="B12" s="10" t="s">
        <v>10</v>
      </c>
      <c r="C12" s="10" t="s">
        <v>9</v>
      </c>
      <c r="D12" s="12">
        <v>2625</v>
      </c>
      <c r="E12" s="13">
        <v>15</v>
      </c>
      <c r="F12" s="12">
        <f t="shared" si="0"/>
        <v>39375</v>
      </c>
      <c r="G12" s="12">
        <v>24700</v>
      </c>
      <c r="H12" s="12">
        <f t="shared" si="1"/>
        <v>14675</v>
      </c>
      <c r="I12" s="11">
        <v>45078</v>
      </c>
      <c r="J12" s="10" t="s">
        <v>26</v>
      </c>
      <c r="K12" s="9">
        <v>2023</v>
      </c>
    </row>
    <row r="13" spans="1:15" x14ac:dyDescent="0.35">
      <c r="A13" s="14" t="s">
        <v>7</v>
      </c>
      <c r="B13" s="10" t="s">
        <v>6</v>
      </c>
      <c r="C13" s="10" t="s">
        <v>9</v>
      </c>
      <c r="D13" s="12">
        <v>1958</v>
      </c>
      <c r="E13" s="13">
        <v>125</v>
      </c>
      <c r="F13" s="12">
        <f t="shared" si="0"/>
        <v>244750</v>
      </c>
      <c r="G13" s="12">
        <v>319860</v>
      </c>
      <c r="H13" s="12">
        <f t="shared" si="1"/>
        <v>-75110</v>
      </c>
      <c r="I13" s="11">
        <v>45108</v>
      </c>
      <c r="J13" s="10" t="s">
        <v>20</v>
      </c>
      <c r="K13" s="9">
        <v>2023</v>
      </c>
    </row>
    <row r="14" spans="1:15" x14ac:dyDescent="0.35">
      <c r="A14" s="14" t="s">
        <v>11</v>
      </c>
      <c r="B14" s="10" t="s">
        <v>10</v>
      </c>
      <c r="C14" s="10" t="s">
        <v>9</v>
      </c>
      <c r="D14" s="12">
        <v>3271</v>
      </c>
      <c r="E14" s="13">
        <v>300</v>
      </c>
      <c r="F14" s="12">
        <f t="shared" si="0"/>
        <v>981300</v>
      </c>
      <c r="G14" s="12">
        <v>239500</v>
      </c>
      <c r="H14" s="12">
        <f t="shared" si="1"/>
        <v>741800</v>
      </c>
      <c r="I14" s="11">
        <v>45139</v>
      </c>
      <c r="J14" s="10" t="s">
        <v>23</v>
      </c>
      <c r="K14" s="9">
        <v>2023</v>
      </c>
    </row>
    <row r="15" spans="1:15" x14ac:dyDescent="0.35">
      <c r="A15" s="14" t="s">
        <v>19</v>
      </c>
      <c r="B15" s="10" t="s">
        <v>6</v>
      </c>
      <c r="C15" s="10" t="s">
        <v>9</v>
      </c>
      <c r="D15" s="12">
        <v>2091</v>
      </c>
      <c r="E15" s="13">
        <v>7</v>
      </c>
      <c r="F15" s="12">
        <f t="shared" si="0"/>
        <v>14637</v>
      </c>
      <c r="G15" s="12">
        <v>10730</v>
      </c>
      <c r="H15" s="12">
        <f t="shared" si="1"/>
        <v>3907</v>
      </c>
      <c r="I15" s="11">
        <v>45170</v>
      </c>
      <c r="J15" s="10" t="s">
        <v>22</v>
      </c>
      <c r="K15" s="9">
        <v>2023</v>
      </c>
    </row>
    <row r="16" spans="1:15" x14ac:dyDescent="0.35">
      <c r="A16" s="14" t="s">
        <v>7</v>
      </c>
      <c r="B16" s="10" t="s">
        <v>6</v>
      </c>
      <c r="C16" s="10" t="s">
        <v>9</v>
      </c>
      <c r="D16" s="12">
        <v>2530</v>
      </c>
      <c r="E16" s="13">
        <v>125</v>
      </c>
      <c r="F16" s="12">
        <f t="shared" si="0"/>
        <v>316250</v>
      </c>
      <c r="G16" s="12">
        <v>41400</v>
      </c>
      <c r="H16" s="12">
        <f t="shared" si="1"/>
        <v>274850</v>
      </c>
      <c r="I16" s="11">
        <v>44835</v>
      </c>
      <c r="J16" s="10" t="s">
        <v>12</v>
      </c>
      <c r="K16" s="9">
        <v>2022</v>
      </c>
    </row>
    <row r="17" spans="1:11" x14ac:dyDescent="0.35">
      <c r="A17" s="14" t="s">
        <v>3</v>
      </c>
      <c r="B17" s="10" t="s">
        <v>2</v>
      </c>
      <c r="C17" s="10" t="s">
        <v>9</v>
      </c>
      <c r="D17" s="12">
        <v>2825</v>
      </c>
      <c r="E17" s="13">
        <v>15</v>
      </c>
      <c r="F17" s="12">
        <f t="shared" si="0"/>
        <v>42375</v>
      </c>
      <c r="G17" s="12">
        <v>6150</v>
      </c>
      <c r="H17" s="12">
        <f t="shared" si="1"/>
        <v>36225</v>
      </c>
      <c r="I17" s="11">
        <v>45261</v>
      </c>
      <c r="J17" s="10" t="s">
        <v>17</v>
      </c>
      <c r="K17" s="9">
        <v>2023</v>
      </c>
    </row>
    <row r="18" spans="1:11" x14ac:dyDescent="0.35">
      <c r="A18" s="14" t="s">
        <v>7</v>
      </c>
      <c r="B18" s="10" t="s">
        <v>6</v>
      </c>
      <c r="C18" s="10" t="s">
        <v>5</v>
      </c>
      <c r="D18" s="12">
        <v>2513</v>
      </c>
      <c r="E18" s="13">
        <v>20</v>
      </c>
      <c r="F18" s="12">
        <f t="shared" si="0"/>
        <v>50260</v>
      </c>
      <c r="G18" s="12">
        <v>2920</v>
      </c>
      <c r="H18" s="12">
        <f t="shared" si="1"/>
        <v>47340</v>
      </c>
      <c r="I18" s="11">
        <v>44958</v>
      </c>
      <c r="J18" s="10" t="s">
        <v>8</v>
      </c>
      <c r="K18" s="9">
        <v>2023</v>
      </c>
    </row>
    <row r="19" spans="1:11" x14ac:dyDescent="0.35">
      <c r="A19" s="14" t="s">
        <v>11</v>
      </c>
      <c r="B19" s="10" t="s">
        <v>10</v>
      </c>
      <c r="C19" s="10" t="s">
        <v>5</v>
      </c>
      <c r="D19" s="12">
        <v>883</v>
      </c>
      <c r="E19" s="13">
        <v>15</v>
      </c>
      <c r="F19" s="12">
        <f t="shared" si="0"/>
        <v>13245</v>
      </c>
      <c r="G19" s="12">
        <v>9740</v>
      </c>
      <c r="H19" s="12">
        <f t="shared" si="1"/>
        <v>3505</v>
      </c>
      <c r="I19" s="11">
        <v>44958</v>
      </c>
      <c r="J19" s="10" t="s">
        <v>8</v>
      </c>
      <c r="K19" s="9">
        <v>2023</v>
      </c>
    </row>
    <row r="20" spans="1:11" x14ac:dyDescent="0.35">
      <c r="A20" s="14" t="s">
        <v>7</v>
      </c>
      <c r="B20" s="10" t="s">
        <v>6</v>
      </c>
      <c r="C20" s="10" t="s">
        <v>5</v>
      </c>
      <c r="D20" s="12">
        <v>2087</v>
      </c>
      <c r="E20" s="13">
        <v>12</v>
      </c>
      <c r="F20" s="12">
        <f t="shared" si="0"/>
        <v>25044</v>
      </c>
      <c r="G20" s="12">
        <v>7554</v>
      </c>
      <c r="H20" s="12">
        <f t="shared" si="1"/>
        <v>17490</v>
      </c>
      <c r="I20" s="11">
        <v>45078</v>
      </c>
      <c r="J20" s="10" t="s">
        <v>26</v>
      </c>
      <c r="K20" s="9">
        <v>2023</v>
      </c>
    </row>
    <row r="21" spans="1:11" x14ac:dyDescent="0.35">
      <c r="A21" s="14" t="s">
        <v>19</v>
      </c>
      <c r="B21" s="10" t="s">
        <v>6</v>
      </c>
      <c r="C21" s="10" t="s">
        <v>5</v>
      </c>
      <c r="D21" s="12">
        <v>2563</v>
      </c>
      <c r="E21" s="13">
        <v>350</v>
      </c>
      <c r="F21" s="12">
        <f t="shared" si="0"/>
        <v>897050</v>
      </c>
      <c r="G21" s="12">
        <v>261560</v>
      </c>
      <c r="H21" s="12">
        <f t="shared" si="1"/>
        <v>635490</v>
      </c>
      <c r="I21" s="11">
        <v>45078</v>
      </c>
      <c r="J21" s="10" t="s">
        <v>26</v>
      </c>
      <c r="K21" s="9">
        <v>2023</v>
      </c>
    </row>
    <row r="22" spans="1:11" x14ac:dyDescent="0.35">
      <c r="A22" s="14" t="s">
        <v>19</v>
      </c>
      <c r="B22" s="10" t="s">
        <v>6</v>
      </c>
      <c r="C22" s="10" t="s">
        <v>5</v>
      </c>
      <c r="D22" s="12">
        <v>2846</v>
      </c>
      <c r="E22" s="13">
        <v>12</v>
      </c>
      <c r="F22" s="12">
        <f t="shared" si="0"/>
        <v>34152</v>
      </c>
      <c r="G22" s="12">
        <v>1101</v>
      </c>
      <c r="H22" s="12">
        <f t="shared" si="1"/>
        <v>33051</v>
      </c>
      <c r="I22" s="11">
        <v>45108</v>
      </c>
      <c r="J22" s="10" t="s">
        <v>20</v>
      </c>
      <c r="K22" s="9">
        <v>2023</v>
      </c>
    </row>
    <row r="23" spans="1:11" x14ac:dyDescent="0.35">
      <c r="A23" s="14" t="s">
        <v>11</v>
      </c>
      <c r="B23" s="10" t="s">
        <v>10</v>
      </c>
      <c r="C23" s="10" t="s">
        <v>5</v>
      </c>
      <c r="D23" s="12">
        <v>997</v>
      </c>
      <c r="E23" s="13">
        <v>7</v>
      </c>
      <c r="F23" s="12">
        <f t="shared" si="0"/>
        <v>6979</v>
      </c>
      <c r="G23" s="12">
        <v>4415</v>
      </c>
      <c r="H23" s="12">
        <f t="shared" si="1"/>
        <v>2564</v>
      </c>
      <c r="I23" s="11">
        <v>45139</v>
      </c>
      <c r="J23" s="10" t="s">
        <v>23</v>
      </c>
      <c r="K23" s="9">
        <v>2023</v>
      </c>
    </row>
    <row r="24" spans="1:11" x14ac:dyDescent="0.35">
      <c r="A24" s="14" t="s">
        <v>16</v>
      </c>
      <c r="B24" s="10" t="s">
        <v>15</v>
      </c>
      <c r="C24" s="10" t="s">
        <v>5</v>
      </c>
      <c r="D24" s="12">
        <v>3421</v>
      </c>
      <c r="E24" s="13">
        <v>15</v>
      </c>
      <c r="F24" s="12">
        <f t="shared" si="0"/>
        <v>51315</v>
      </c>
      <c r="G24" s="12">
        <v>5490</v>
      </c>
      <c r="H24" s="12">
        <f t="shared" si="1"/>
        <v>45825</v>
      </c>
      <c r="I24" s="11">
        <v>44805</v>
      </c>
      <c r="J24" s="10" t="s">
        <v>22</v>
      </c>
      <c r="K24" s="9">
        <v>2022</v>
      </c>
    </row>
    <row r="25" spans="1:11" x14ac:dyDescent="0.35">
      <c r="A25" s="14" t="s">
        <v>11</v>
      </c>
      <c r="B25" s="10" t="s">
        <v>10</v>
      </c>
      <c r="C25" s="10" t="s">
        <v>5</v>
      </c>
      <c r="D25" s="12">
        <v>2291</v>
      </c>
      <c r="E25" s="13">
        <v>300</v>
      </c>
      <c r="F25" s="12">
        <f t="shared" si="0"/>
        <v>687300</v>
      </c>
      <c r="G25" s="12">
        <v>197000</v>
      </c>
      <c r="H25" s="12">
        <f t="shared" si="1"/>
        <v>490300</v>
      </c>
      <c r="I25" s="11">
        <v>44805</v>
      </c>
      <c r="J25" s="10" t="s">
        <v>22</v>
      </c>
      <c r="K25" s="9">
        <v>2022</v>
      </c>
    </row>
    <row r="26" spans="1:11" x14ac:dyDescent="0.35">
      <c r="A26" s="14" t="s">
        <v>11</v>
      </c>
      <c r="B26" s="10" t="s">
        <v>10</v>
      </c>
      <c r="C26" s="10" t="s">
        <v>5</v>
      </c>
      <c r="D26" s="12">
        <v>2290</v>
      </c>
      <c r="E26" s="13">
        <v>15</v>
      </c>
      <c r="F26" s="12">
        <f t="shared" si="0"/>
        <v>34350</v>
      </c>
      <c r="G26" s="12">
        <v>24720</v>
      </c>
      <c r="H26" s="12">
        <f t="shared" si="1"/>
        <v>9630</v>
      </c>
      <c r="I26" s="11">
        <v>45170</v>
      </c>
      <c r="J26" s="10" t="s">
        <v>22</v>
      </c>
      <c r="K26" s="9">
        <v>2023</v>
      </c>
    </row>
    <row r="27" spans="1:11" x14ac:dyDescent="0.35">
      <c r="A27" s="14" t="s">
        <v>3</v>
      </c>
      <c r="B27" s="10" t="s">
        <v>2</v>
      </c>
      <c r="C27" s="10" t="s">
        <v>5</v>
      </c>
      <c r="D27" s="12">
        <v>2133</v>
      </c>
      <c r="E27" s="13">
        <v>7</v>
      </c>
      <c r="F27" s="12">
        <f t="shared" si="0"/>
        <v>14931</v>
      </c>
      <c r="G27" s="12">
        <v>5715</v>
      </c>
      <c r="H27" s="12">
        <f t="shared" si="1"/>
        <v>9216</v>
      </c>
      <c r="I27" s="11">
        <v>45200</v>
      </c>
      <c r="J27" s="10" t="s">
        <v>12</v>
      </c>
      <c r="K27" s="9">
        <v>2023</v>
      </c>
    </row>
    <row r="28" spans="1:11" x14ac:dyDescent="0.35">
      <c r="A28" s="14" t="s">
        <v>7</v>
      </c>
      <c r="B28" s="10" t="s">
        <v>6</v>
      </c>
      <c r="C28" s="10" t="s">
        <v>5</v>
      </c>
      <c r="D28" s="12">
        <v>3475</v>
      </c>
      <c r="E28" s="13">
        <v>350</v>
      </c>
      <c r="F28" s="12">
        <f t="shared" si="0"/>
        <v>1216250</v>
      </c>
      <c r="G28" s="12">
        <v>448500</v>
      </c>
      <c r="H28" s="12">
        <f t="shared" si="1"/>
        <v>767750</v>
      </c>
      <c r="I28" s="11">
        <v>44866</v>
      </c>
      <c r="J28" s="10" t="s">
        <v>18</v>
      </c>
      <c r="K28" s="9">
        <v>2022</v>
      </c>
    </row>
    <row r="29" spans="1:11" x14ac:dyDescent="0.35">
      <c r="A29" s="14" t="s">
        <v>3</v>
      </c>
      <c r="B29" s="10" t="s">
        <v>2</v>
      </c>
      <c r="C29" s="10" t="s">
        <v>5</v>
      </c>
      <c r="D29" s="12">
        <v>3686</v>
      </c>
      <c r="E29" s="13">
        <v>12</v>
      </c>
      <c r="F29" s="12">
        <f t="shared" si="0"/>
        <v>44232</v>
      </c>
      <c r="G29" s="12">
        <v>2736</v>
      </c>
      <c r="H29" s="12">
        <f t="shared" si="1"/>
        <v>41496</v>
      </c>
      <c r="I29" s="11">
        <v>44866</v>
      </c>
      <c r="J29" s="10" t="s">
        <v>18</v>
      </c>
      <c r="K29" s="9">
        <v>2022</v>
      </c>
    </row>
    <row r="30" spans="1:11" x14ac:dyDescent="0.35">
      <c r="A30" s="14" t="s">
        <v>7</v>
      </c>
      <c r="B30" s="10" t="s">
        <v>6</v>
      </c>
      <c r="C30" s="10" t="s">
        <v>5</v>
      </c>
      <c r="D30" s="12">
        <v>3319</v>
      </c>
      <c r="E30" s="13">
        <v>15</v>
      </c>
      <c r="F30" s="12">
        <f t="shared" si="0"/>
        <v>49785</v>
      </c>
      <c r="G30" s="12">
        <v>21520</v>
      </c>
      <c r="H30" s="12">
        <f t="shared" si="1"/>
        <v>28265</v>
      </c>
      <c r="I30" s="11">
        <v>44896</v>
      </c>
      <c r="J30" s="10" t="s">
        <v>17</v>
      </c>
      <c r="K30" s="9">
        <v>2022</v>
      </c>
    </row>
    <row r="31" spans="1:11" x14ac:dyDescent="0.35">
      <c r="A31" s="14" t="s">
        <v>7</v>
      </c>
      <c r="B31" s="10" t="s">
        <v>6</v>
      </c>
      <c r="C31" s="10" t="s">
        <v>5</v>
      </c>
      <c r="D31" s="12">
        <v>3617</v>
      </c>
      <c r="E31" s="13">
        <v>20</v>
      </c>
      <c r="F31" s="12">
        <f t="shared" si="0"/>
        <v>72340</v>
      </c>
      <c r="G31" s="12">
        <v>18170</v>
      </c>
      <c r="H31" s="12">
        <f t="shared" si="1"/>
        <v>54170</v>
      </c>
      <c r="I31" s="11">
        <v>45261</v>
      </c>
      <c r="J31" s="10" t="s">
        <v>17</v>
      </c>
      <c r="K31" s="9">
        <v>2023</v>
      </c>
    </row>
    <row r="32" spans="1:11" x14ac:dyDescent="0.35">
      <c r="A32" s="14" t="s">
        <v>19</v>
      </c>
      <c r="B32" s="10" t="s">
        <v>6</v>
      </c>
      <c r="C32" s="10" t="s">
        <v>5</v>
      </c>
      <c r="D32" s="12">
        <v>1266</v>
      </c>
      <c r="E32" s="13">
        <v>350</v>
      </c>
      <c r="F32" s="12">
        <f t="shared" si="0"/>
        <v>443100</v>
      </c>
      <c r="G32" s="12">
        <v>393380</v>
      </c>
      <c r="H32" s="12">
        <f t="shared" si="1"/>
        <v>49720</v>
      </c>
      <c r="I32" s="11">
        <v>45261</v>
      </c>
      <c r="J32" s="10" t="s">
        <v>17</v>
      </c>
      <c r="K32" s="9">
        <v>2023</v>
      </c>
    </row>
    <row r="33" spans="1:11" x14ac:dyDescent="0.35">
      <c r="A33" s="14" t="s">
        <v>11</v>
      </c>
      <c r="B33" s="10" t="s">
        <v>10</v>
      </c>
      <c r="C33" s="10" t="s">
        <v>21</v>
      </c>
      <c r="D33" s="12">
        <v>894</v>
      </c>
      <c r="E33" s="13">
        <v>7</v>
      </c>
      <c r="F33" s="12">
        <f t="shared" si="0"/>
        <v>6258</v>
      </c>
      <c r="G33" s="12">
        <v>7465</v>
      </c>
      <c r="H33" s="12">
        <f t="shared" si="1"/>
        <v>-1207</v>
      </c>
      <c r="I33" s="11">
        <v>44927</v>
      </c>
      <c r="J33" s="10" t="s">
        <v>25</v>
      </c>
      <c r="K33" s="9">
        <v>2023</v>
      </c>
    </row>
    <row r="34" spans="1:11" x14ac:dyDescent="0.35">
      <c r="A34" s="14" t="s">
        <v>16</v>
      </c>
      <c r="B34" s="10" t="s">
        <v>15</v>
      </c>
      <c r="C34" s="10" t="s">
        <v>21</v>
      </c>
      <c r="D34" s="12">
        <v>2725</v>
      </c>
      <c r="E34" s="13">
        <v>125</v>
      </c>
      <c r="F34" s="12">
        <f t="shared" si="0"/>
        <v>340625</v>
      </c>
      <c r="G34" s="12">
        <v>216480</v>
      </c>
      <c r="H34" s="12">
        <f t="shared" si="1"/>
        <v>124145</v>
      </c>
      <c r="I34" s="11">
        <v>44958</v>
      </c>
      <c r="J34" s="10" t="s">
        <v>8</v>
      </c>
      <c r="K34" s="9">
        <v>2023</v>
      </c>
    </row>
    <row r="35" spans="1:11" x14ac:dyDescent="0.35">
      <c r="A35" s="14" t="s">
        <v>19</v>
      </c>
      <c r="B35" s="10" t="s">
        <v>6</v>
      </c>
      <c r="C35" s="10" t="s">
        <v>21</v>
      </c>
      <c r="D35" s="12">
        <v>3061</v>
      </c>
      <c r="E35" s="13">
        <v>12</v>
      </c>
      <c r="F35" s="12">
        <f t="shared" si="0"/>
        <v>36732</v>
      </c>
      <c r="G35" s="12">
        <v>6483</v>
      </c>
      <c r="H35" s="12">
        <f t="shared" si="1"/>
        <v>30249</v>
      </c>
      <c r="I35" s="11">
        <v>44986</v>
      </c>
      <c r="J35" s="10" t="s">
        <v>14</v>
      </c>
      <c r="K35" s="9">
        <v>2023</v>
      </c>
    </row>
    <row r="36" spans="1:11" x14ac:dyDescent="0.35">
      <c r="A36" s="14" t="s">
        <v>19</v>
      </c>
      <c r="B36" s="10" t="s">
        <v>6</v>
      </c>
      <c r="C36" s="10" t="s">
        <v>21</v>
      </c>
      <c r="D36" s="12">
        <v>3958</v>
      </c>
      <c r="E36" s="13">
        <v>350</v>
      </c>
      <c r="F36" s="12">
        <f t="shared" si="0"/>
        <v>1385300</v>
      </c>
      <c r="G36" s="12">
        <v>261560</v>
      </c>
      <c r="H36" s="12">
        <f t="shared" si="1"/>
        <v>1123740</v>
      </c>
      <c r="I36" s="11">
        <v>45078</v>
      </c>
      <c r="J36" s="10" t="s">
        <v>26</v>
      </c>
      <c r="K36" s="9">
        <v>2023</v>
      </c>
    </row>
    <row r="37" spans="1:11" x14ac:dyDescent="0.35">
      <c r="A37" s="14" t="s">
        <v>19</v>
      </c>
      <c r="B37" s="10" t="s">
        <v>6</v>
      </c>
      <c r="C37" s="10" t="s">
        <v>21</v>
      </c>
      <c r="D37" s="12">
        <v>3920</v>
      </c>
      <c r="E37" s="13">
        <v>12</v>
      </c>
      <c r="F37" s="12">
        <f t="shared" si="0"/>
        <v>47040</v>
      </c>
      <c r="G37" s="12">
        <v>4635</v>
      </c>
      <c r="H37" s="12">
        <f t="shared" si="1"/>
        <v>42405</v>
      </c>
      <c r="I37" s="11">
        <v>45078</v>
      </c>
      <c r="J37" s="10" t="s">
        <v>26</v>
      </c>
      <c r="K37" s="9">
        <v>2023</v>
      </c>
    </row>
    <row r="38" spans="1:11" x14ac:dyDescent="0.35">
      <c r="A38" s="14" t="s">
        <v>3</v>
      </c>
      <c r="B38" s="10" t="s">
        <v>2</v>
      </c>
      <c r="C38" s="10" t="s">
        <v>21</v>
      </c>
      <c r="D38" s="12">
        <v>3381</v>
      </c>
      <c r="E38" s="13">
        <v>125</v>
      </c>
      <c r="F38" s="12">
        <f t="shared" si="0"/>
        <v>422625</v>
      </c>
      <c r="G38" s="12">
        <v>338520</v>
      </c>
      <c r="H38" s="12">
        <f t="shared" si="1"/>
        <v>84105</v>
      </c>
      <c r="I38" s="11">
        <v>45139</v>
      </c>
      <c r="J38" s="10" t="s">
        <v>23</v>
      </c>
      <c r="K38" s="9">
        <v>2023</v>
      </c>
    </row>
    <row r="39" spans="1:11" x14ac:dyDescent="0.35">
      <c r="A39" s="14" t="s">
        <v>7</v>
      </c>
      <c r="B39" s="10" t="s">
        <v>6</v>
      </c>
      <c r="C39" s="10" t="s">
        <v>21</v>
      </c>
      <c r="D39" s="12">
        <v>1094</v>
      </c>
      <c r="E39" s="13">
        <v>125</v>
      </c>
      <c r="F39" s="12">
        <f t="shared" si="0"/>
        <v>136750</v>
      </c>
      <c r="G39" s="12">
        <v>41400</v>
      </c>
      <c r="H39" s="12">
        <f t="shared" si="1"/>
        <v>95350</v>
      </c>
      <c r="I39" s="11">
        <v>44835</v>
      </c>
      <c r="J39" s="10" t="s">
        <v>12</v>
      </c>
      <c r="K39" s="9">
        <v>2022</v>
      </c>
    </row>
    <row r="40" spans="1:11" x14ac:dyDescent="0.35">
      <c r="A40" s="14" t="s">
        <v>7</v>
      </c>
      <c r="B40" s="10" t="s">
        <v>6</v>
      </c>
      <c r="C40" s="10" t="s">
        <v>1</v>
      </c>
      <c r="D40" s="12">
        <v>4307</v>
      </c>
      <c r="E40" s="13">
        <v>300</v>
      </c>
      <c r="F40" s="12">
        <f t="shared" si="0"/>
        <v>1292100</v>
      </c>
      <c r="G40" s="12">
        <v>500250</v>
      </c>
      <c r="H40" s="12">
        <f t="shared" si="1"/>
        <v>791850</v>
      </c>
      <c r="I40" s="11">
        <v>44958</v>
      </c>
      <c r="J40" s="10" t="s">
        <v>8</v>
      </c>
      <c r="K40" s="9">
        <v>2023</v>
      </c>
    </row>
    <row r="41" spans="1:11" x14ac:dyDescent="0.35">
      <c r="A41" s="14" t="s">
        <v>19</v>
      </c>
      <c r="B41" s="10" t="s">
        <v>6</v>
      </c>
      <c r="C41" s="10" t="s">
        <v>1</v>
      </c>
      <c r="D41" s="12">
        <v>878</v>
      </c>
      <c r="E41" s="13">
        <v>12</v>
      </c>
      <c r="F41" s="12">
        <f t="shared" si="0"/>
        <v>10536</v>
      </c>
      <c r="G41" s="12">
        <v>8514</v>
      </c>
      <c r="H41" s="12">
        <f t="shared" si="1"/>
        <v>2022</v>
      </c>
      <c r="I41" s="11">
        <v>45017</v>
      </c>
      <c r="J41" s="10" t="s">
        <v>4</v>
      </c>
      <c r="K41" s="9">
        <v>2023</v>
      </c>
    </row>
    <row r="42" spans="1:11" x14ac:dyDescent="0.35">
      <c r="A42" s="14" t="s">
        <v>16</v>
      </c>
      <c r="B42" s="10" t="s">
        <v>15</v>
      </c>
      <c r="C42" s="10" t="s">
        <v>1</v>
      </c>
      <c r="D42" s="12">
        <v>496</v>
      </c>
      <c r="E42" s="13">
        <v>15</v>
      </c>
      <c r="F42" s="12">
        <f t="shared" si="0"/>
        <v>7440</v>
      </c>
      <c r="G42" s="12">
        <v>21780</v>
      </c>
      <c r="H42" s="12">
        <f t="shared" si="1"/>
        <v>-14340</v>
      </c>
      <c r="I42" s="11">
        <v>45078</v>
      </c>
      <c r="J42" s="10" t="s">
        <v>26</v>
      </c>
      <c r="K42" s="9">
        <v>2023</v>
      </c>
    </row>
    <row r="43" spans="1:11" x14ac:dyDescent="0.35">
      <c r="A43" s="14" t="s">
        <v>19</v>
      </c>
      <c r="B43" s="10" t="s">
        <v>6</v>
      </c>
      <c r="C43" s="10" t="s">
        <v>1</v>
      </c>
      <c r="D43" s="12">
        <v>3367</v>
      </c>
      <c r="E43" s="13">
        <v>15</v>
      </c>
      <c r="F43" s="12">
        <f t="shared" si="0"/>
        <v>50505</v>
      </c>
      <c r="G43" s="12">
        <v>8880</v>
      </c>
      <c r="H43" s="12">
        <f t="shared" si="1"/>
        <v>41625</v>
      </c>
      <c r="I43" s="11">
        <v>45078</v>
      </c>
      <c r="J43" s="10" t="s">
        <v>26</v>
      </c>
      <c r="K43" s="9">
        <v>2023</v>
      </c>
    </row>
    <row r="44" spans="1:11" x14ac:dyDescent="0.35">
      <c r="A44" s="14" t="s">
        <v>16</v>
      </c>
      <c r="B44" s="10" t="s">
        <v>15</v>
      </c>
      <c r="C44" s="10" t="s">
        <v>1</v>
      </c>
      <c r="D44" s="12">
        <v>3880</v>
      </c>
      <c r="E44" s="13">
        <v>350</v>
      </c>
      <c r="F44" s="12">
        <f t="shared" si="0"/>
        <v>1358000</v>
      </c>
      <c r="G44" s="12">
        <v>397020</v>
      </c>
      <c r="H44" s="12">
        <f t="shared" si="1"/>
        <v>960980</v>
      </c>
      <c r="I44" s="11">
        <v>44805</v>
      </c>
      <c r="J44" s="10" t="s">
        <v>22</v>
      </c>
      <c r="K44" s="9">
        <v>2022</v>
      </c>
    </row>
    <row r="45" spans="1:11" x14ac:dyDescent="0.35">
      <c r="A45" s="14" t="s">
        <v>16</v>
      </c>
      <c r="B45" s="10" t="s">
        <v>15</v>
      </c>
      <c r="C45" s="10" t="s">
        <v>1</v>
      </c>
      <c r="D45" s="12">
        <v>2055</v>
      </c>
      <c r="E45" s="13">
        <v>300</v>
      </c>
      <c r="F45" s="12">
        <f t="shared" si="0"/>
        <v>616500</v>
      </c>
      <c r="G45" s="12">
        <v>537750</v>
      </c>
      <c r="H45" s="12">
        <f t="shared" si="1"/>
        <v>78750</v>
      </c>
      <c r="I45" s="11">
        <v>45170</v>
      </c>
      <c r="J45" s="10" t="s">
        <v>22</v>
      </c>
      <c r="K45" s="9">
        <v>2023</v>
      </c>
    </row>
    <row r="46" spans="1:11" x14ac:dyDescent="0.35">
      <c r="A46" s="14" t="s">
        <v>7</v>
      </c>
      <c r="B46" s="10" t="s">
        <v>6</v>
      </c>
      <c r="C46" s="10" t="s">
        <v>1</v>
      </c>
      <c r="D46" s="12">
        <v>4041</v>
      </c>
      <c r="E46" s="13">
        <v>20</v>
      </c>
      <c r="F46" s="12">
        <f t="shared" si="0"/>
        <v>80820</v>
      </c>
      <c r="G46" s="12">
        <v>18170</v>
      </c>
      <c r="H46" s="12">
        <f t="shared" si="1"/>
        <v>62650</v>
      </c>
      <c r="I46" s="11">
        <v>45261</v>
      </c>
      <c r="J46" s="10" t="s">
        <v>17</v>
      </c>
      <c r="K46" s="9">
        <v>2023</v>
      </c>
    </row>
    <row r="47" spans="1:11" x14ac:dyDescent="0.35">
      <c r="A47" s="14" t="s">
        <v>16</v>
      </c>
      <c r="B47" s="10" t="s">
        <v>15</v>
      </c>
      <c r="C47" s="10" t="s">
        <v>13</v>
      </c>
      <c r="D47" s="12">
        <v>3237</v>
      </c>
      <c r="E47" s="13">
        <v>350</v>
      </c>
      <c r="F47" s="12">
        <f t="shared" si="0"/>
        <v>1132950</v>
      </c>
      <c r="G47" s="12">
        <v>715000</v>
      </c>
      <c r="H47" s="12">
        <f t="shared" si="1"/>
        <v>417950</v>
      </c>
      <c r="I47" s="11">
        <v>44958</v>
      </c>
      <c r="J47" s="10" t="s">
        <v>8</v>
      </c>
      <c r="K47" s="9">
        <v>2023</v>
      </c>
    </row>
    <row r="48" spans="1:11" x14ac:dyDescent="0.35">
      <c r="A48" s="14" t="s">
        <v>3</v>
      </c>
      <c r="B48" s="10" t="s">
        <v>2</v>
      </c>
      <c r="C48" s="10" t="s">
        <v>13</v>
      </c>
      <c r="D48" s="12">
        <v>630</v>
      </c>
      <c r="E48" s="13">
        <v>12</v>
      </c>
      <c r="F48" s="12">
        <f t="shared" si="0"/>
        <v>7560</v>
      </c>
      <c r="G48" s="12">
        <v>5859</v>
      </c>
      <c r="H48" s="12">
        <f t="shared" si="1"/>
        <v>1701</v>
      </c>
      <c r="I48" s="11">
        <v>45017</v>
      </c>
      <c r="J48" s="10" t="s">
        <v>4</v>
      </c>
      <c r="K48" s="9">
        <v>2023</v>
      </c>
    </row>
    <row r="49" spans="1:11" x14ac:dyDescent="0.35">
      <c r="A49" s="14" t="s">
        <v>19</v>
      </c>
      <c r="B49" s="10" t="s">
        <v>6</v>
      </c>
      <c r="C49" s="10" t="s">
        <v>13</v>
      </c>
      <c r="D49" s="12">
        <v>4210</v>
      </c>
      <c r="E49" s="13">
        <v>125</v>
      </c>
      <c r="F49" s="12">
        <f t="shared" si="0"/>
        <v>526250</v>
      </c>
      <c r="G49" s="12">
        <v>506340</v>
      </c>
      <c r="H49" s="12">
        <f t="shared" si="1"/>
        <v>19910</v>
      </c>
      <c r="I49" s="11">
        <v>45017</v>
      </c>
      <c r="J49" s="10" t="s">
        <v>4</v>
      </c>
      <c r="K49" s="9">
        <v>2023</v>
      </c>
    </row>
    <row r="50" spans="1:11" x14ac:dyDescent="0.35">
      <c r="A50" s="14" t="s">
        <v>16</v>
      </c>
      <c r="B50" s="10" t="s">
        <v>15</v>
      </c>
      <c r="C50" s="10" t="s">
        <v>13</v>
      </c>
      <c r="D50" s="12">
        <v>1127</v>
      </c>
      <c r="E50" s="13">
        <v>20</v>
      </c>
      <c r="F50" s="12">
        <f t="shared" si="0"/>
        <v>22540</v>
      </c>
      <c r="G50" s="12">
        <v>18990</v>
      </c>
      <c r="H50" s="12">
        <f t="shared" si="1"/>
        <v>3550</v>
      </c>
      <c r="I50" s="11">
        <v>45078</v>
      </c>
      <c r="J50" s="10" t="s">
        <v>26</v>
      </c>
      <c r="K50" s="9">
        <v>2023</v>
      </c>
    </row>
    <row r="51" spans="1:11" x14ac:dyDescent="0.35">
      <c r="A51" s="14" t="s">
        <v>19</v>
      </c>
      <c r="B51" s="10" t="s">
        <v>6</v>
      </c>
      <c r="C51" s="10" t="s">
        <v>13</v>
      </c>
      <c r="D51" s="12">
        <v>3438</v>
      </c>
      <c r="E51" s="13">
        <v>7</v>
      </c>
      <c r="F51" s="12">
        <f t="shared" si="0"/>
        <v>24066</v>
      </c>
      <c r="G51" s="12">
        <v>8430</v>
      </c>
      <c r="H51" s="12">
        <f t="shared" si="1"/>
        <v>15636</v>
      </c>
      <c r="I51" s="11">
        <v>45108</v>
      </c>
      <c r="J51" s="10" t="s">
        <v>20</v>
      </c>
      <c r="K51" s="9">
        <v>2023</v>
      </c>
    </row>
    <row r="52" spans="1:11" x14ac:dyDescent="0.35">
      <c r="A52" s="14" t="s">
        <v>3</v>
      </c>
      <c r="B52" s="10" t="s">
        <v>2</v>
      </c>
      <c r="C52" s="10" t="s">
        <v>13</v>
      </c>
      <c r="D52" s="12">
        <v>2015</v>
      </c>
      <c r="E52" s="13">
        <v>12</v>
      </c>
      <c r="F52" s="12">
        <f t="shared" si="0"/>
        <v>24180</v>
      </c>
      <c r="G52" s="12">
        <v>6423</v>
      </c>
      <c r="H52" s="12">
        <f t="shared" si="1"/>
        <v>17757</v>
      </c>
      <c r="I52" s="11">
        <v>45139</v>
      </c>
      <c r="J52" s="10" t="s">
        <v>23</v>
      </c>
      <c r="K52" s="9">
        <v>2023</v>
      </c>
    </row>
    <row r="53" spans="1:11" x14ac:dyDescent="0.35">
      <c r="A53" s="14" t="s">
        <v>3</v>
      </c>
      <c r="B53" s="10" t="s">
        <v>2</v>
      </c>
      <c r="C53" s="10" t="s">
        <v>13</v>
      </c>
      <c r="D53" s="12">
        <v>2534</v>
      </c>
      <c r="E53" s="13">
        <v>7</v>
      </c>
      <c r="F53" s="12">
        <f t="shared" si="0"/>
        <v>17738</v>
      </c>
      <c r="G53" s="12">
        <v>5715</v>
      </c>
      <c r="H53" s="12">
        <f t="shared" si="1"/>
        <v>12023</v>
      </c>
      <c r="I53" s="11">
        <v>45200</v>
      </c>
      <c r="J53" s="10" t="s">
        <v>12</v>
      </c>
      <c r="K53" s="9">
        <v>2023</v>
      </c>
    </row>
    <row r="54" spans="1:11" x14ac:dyDescent="0.35">
      <c r="A54" s="14" t="s">
        <v>3</v>
      </c>
      <c r="B54" s="10" t="s">
        <v>2</v>
      </c>
      <c r="C54" s="10" t="s">
        <v>13</v>
      </c>
      <c r="D54" s="12">
        <v>1384</v>
      </c>
      <c r="E54" s="13">
        <v>15</v>
      </c>
      <c r="F54" s="12">
        <f t="shared" si="0"/>
        <v>20760</v>
      </c>
      <c r="G54" s="12">
        <v>6150</v>
      </c>
      <c r="H54" s="12">
        <f t="shared" si="1"/>
        <v>14610</v>
      </c>
      <c r="I54" s="11">
        <v>45261</v>
      </c>
      <c r="J54" s="10" t="s">
        <v>17</v>
      </c>
      <c r="K54" s="9">
        <v>2023</v>
      </c>
    </row>
    <row r="55" spans="1:11" x14ac:dyDescent="0.35">
      <c r="A55" s="14" t="s">
        <v>16</v>
      </c>
      <c r="B55" s="10" t="s">
        <v>15</v>
      </c>
      <c r="C55" s="10" t="s">
        <v>5</v>
      </c>
      <c r="D55" s="12">
        <v>3561</v>
      </c>
      <c r="E55" s="13">
        <v>7</v>
      </c>
      <c r="F55" s="12">
        <f t="shared" si="0"/>
        <v>24927</v>
      </c>
      <c r="G55" s="12">
        <v>19725</v>
      </c>
      <c r="H55" s="12">
        <f t="shared" si="1"/>
        <v>5202</v>
      </c>
      <c r="I55" s="11">
        <v>44927</v>
      </c>
      <c r="J55" s="10" t="s">
        <v>25</v>
      </c>
      <c r="K55" s="9">
        <v>2023</v>
      </c>
    </row>
    <row r="56" spans="1:11" x14ac:dyDescent="0.35">
      <c r="A56" s="14" t="s">
        <v>16</v>
      </c>
      <c r="B56" s="10" t="s">
        <v>15</v>
      </c>
      <c r="C56" s="10" t="s">
        <v>5</v>
      </c>
      <c r="D56" s="12">
        <v>1823</v>
      </c>
      <c r="E56" s="13">
        <v>15</v>
      </c>
      <c r="F56" s="12">
        <f t="shared" si="0"/>
        <v>27345</v>
      </c>
      <c r="G56" s="12">
        <v>22960</v>
      </c>
      <c r="H56" s="12">
        <f t="shared" si="1"/>
        <v>4385</v>
      </c>
      <c r="I56" s="11">
        <v>44958</v>
      </c>
      <c r="J56" s="10" t="s">
        <v>8</v>
      </c>
      <c r="K56" s="9">
        <v>2023</v>
      </c>
    </row>
    <row r="57" spans="1:11" x14ac:dyDescent="0.35">
      <c r="A57" s="14" t="s">
        <v>16</v>
      </c>
      <c r="B57" s="10" t="s">
        <v>15</v>
      </c>
      <c r="C57" s="10" t="s">
        <v>5</v>
      </c>
      <c r="D57" s="12">
        <v>2795</v>
      </c>
      <c r="E57" s="13">
        <v>7</v>
      </c>
      <c r="F57" s="12">
        <f t="shared" si="0"/>
        <v>19565</v>
      </c>
      <c r="G57" s="12">
        <v>5150</v>
      </c>
      <c r="H57" s="12">
        <f t="shared" si="1"/>
        <v>14415</v>
      </c>
      <c r="I57" s="11">
        <v>45047</v>
      </c>
      <c r="J57" s="10" t="s">
        <v>0</v>
      </c>
      <c r="K57" s="9">
        <v>2023</v>
      </c>
    </row>
    <row r="58" spans="1:11" x14ac:dyDescent="0.35">
      <c r="A58" s="14" t="s">
        <v>16</v>
      </c>
      <c r="B58" s="10" t="s">
        <v>15</v>
      </c>
      <c r="C58" s="10" t="s">
        <v>21</v>
      </c>
      <c r="D58" s="12">
        <v>457</v>
      </c>
      <c r="E58" s="13">
        <v>7</v>
      </c>
      <c r="F58" s="12">
        <f t="shared" si="0"/>
        <v>3199</v>
      </c>
      <c r="G58" s="12">
        <v>3195</v>
      </c>
      <c r="H58" s="12">
        <f t="shared" si="1"/>
        <v>4</v>
      </c>
      <c r="I58" s="11">
        <v>45231</v>
      </c>
      <c r="J58" s="10" t="s">
        <v>18</v>
      </c>
      <c r="K58" s="9">
        <v>2023</v>
      </c>
    </row>
    <row r="59" spans="1:11" x14ac:dyDescent="0.35">
      <c r="A59" s="14" t="s">
        <v>7</v>
      </c>
      <c r="B59" s="10" t="s">
        <v>6</v>
      </c>
      <c r="C59" s="10" t="s">
        <v>1</v>
      </c>
      <c r="D59" s="12">
        <v>3785</v>
      </c>
      <c r="E59" s="13">
        <v>7</v>
      </c>
      <c r="F59" s="12">
        <f t="shared" si="0"/>
        <v>26495</v>
      </c>
      <c r="G59" s="12">
        <v>6630</v>
      </c>
      <c r="H59" s="12">
        <f t="shared" si="1"/>
        <v>19865</v>
      </c>
      <c r="I59" s="11">
        <v>44986</v>
      </c>
      <c r="J59" s="10" t="s">
        <v>14</v>
      </c>
      <c r="K59" s="9">
        <v>2023</v>
      </c>
    </row>
    <row r="60" spans="1:11" x14ac:dyDescent="0.35">
      <c r="A60" s="14" t="s">
        <v>3</v>
      </c>
      <c r="B60" s="10" t="s">
        <v>2</v>
      </c>
      <c r="C60" s="10" t="s">
        <v>24</v>
      </c>
      <c r="D60" s="12">
        <v>748</v>
      </c>
      <c r="E60" s="13">
        <v>12</v>
      </c>
      <c r="F60" s="12">
        <f t="shared" si="0"/>
        <v>8976</v>
      </c>
      <c r="G60" s="12">
        <v>5574</v>
      </c>
      <c r="H60" s="12">
        <f t="shared" si="1"/>
        <v>3402</v>
      </c>
      <c r="I60" s="11">
        <v>44958</v>
      </c>
      <c r="J60" s="10" t="s">
        <v>8</v>
      </c>
      <c r="K60" s="9">
        <v>2023</v>
      </c>
    </row>
    <row r="61" spans="1:11" x14ac:dyDescent="0.35">
      <c r="A61" s="14" t="s">
        <v>11</v>
      </c>
      <c r="B61" s="10" t="s">
        <v>10</v>
      </c>
      <c r="C61" s="10" t="s">
        <v>24</v>
      </c>
      <c r="D61" s="12">
        <v>1021</v>
      </c>
      <c r="E61" s="13">
        <v>350</v>
      </c>
      <c r="F61" s="12">
        <f t="shared" si="0"/>
        <v>357350</v>
      </c>
      <c r="G61" s="12">
        <v>314600</v>
      </c>
      <c r="H61" s="12">
        <f t="shared" si="1"/>
        <v>42750</v>
      </c>
      <c r="I61" s="11">
        <v>44986</v>
      </c>
      <c r="J61" s="10" t="s">
        <v>14</v>
      </c>
      <c r="K61" s="9">
        <v>2023</v>
      </c>
    </row>
    <row r="62" spans="1:11" x14ac:dyDescent="0.35">
      <c r="A62" s="14" t="s">
        <v>3</v>
      </c>
      <c r="B62" s="10" t="s">
        <v>2</v>
      </c>
      <c r="C62" s="10" t="s">
        <v>24</v>
      </c>
      <c r="D62" s="12">
        <v>2076</v>
      </c>
      <c r="E62" s="13">
        <v>7</v>
      </c>
      <c r="F62" s="12">
        <f t="shared" si="0"/>
        <v>14532</v>
      </c>
      <c r="G62" s="12">
        <v>12645</v>
      </c>
      <c r="H62" s="12">
        <f t="shared" si="1"/>
        <v>1887</v>
      </c>
      <c r="I62" s="11">
        <v>45108</v>
      </c>
      <c r="J62" s="10" t="s">
        <v>20</v>
      </c>
      <c r="K62" s="9">
        <v>2023</v>
      </c>
    </row>
    <row r="63" spans="1:11" x14ac:dyDescent="0.35">
      <c r="A63" s="14" t="s">
        <v>7</v>
      </c>
      <c r="B63" s="10" t="s">
        <v>6</v>
      </c>
      <c r="C63" s="10" t="s">
        <v>24</v>
      </c>
      <c r="D63" s="12">
        <v>4316</v>
      </c>
      <c r="E63" s="13">
        <v>12</v>
      </c>
      <c r="F63" s="12">
        <f t="shared" si="0"/>
        <v>51792</v>
      </c>
      <c r="G63" s="12">
        <v>4335</v>
      </c>
      <c r="H63" s="12">
        <f t="shared" si="1"/>
        <v>47457</v>
      </c>
      <c r="I63" s="11">
        <v>45170</v>
      </c>
      <c r="J63" s="10" t="s">
        <v>22</v>
      </c>
      <c r="K63" s="9">
        <v>2023</v>
      </c>
    </row>
    <row r="64" spans="1:11" x14ac:dyDescent="0.35">
      <c r="A64" s="14" t="s">
        <v>3</v>
      </c>
      <c r="B64" s="10" t="s">
        <v>2</v>
      </c>
      <c r="C64" s="10" t="s">
        <v>24</v>
      </c>
      <c r="D64" s="12">
        <v>2654</v>
      </c>
      <c r="E64" s="13">
        <v>125</v>
      </c>
      <c r="F64" s="12">
        <f t="shared" si="0"/>
        <v>331750</v>
      </c>
      <c r="G64" s="12">
        <v>39600</v>
      </c>
      <c r="H64" s="12">
        <f t="shared" si="1"/>
        <v>292150</v>
      </c>
      <c r="I64" s="11">
        <v>44805</v>
      </c>
      <c r="J64" s="10" t="s">
        <v>22</v>
      </c>
      <c r="K64" s="9">
        <v>2022</v>
      </c>
    </row>
    <row r="65" spans="1:11" x14ac:dyDescent="0.35">
      <c r="A65" s="14" t="s">
        <v>16</v>
      </c>
      <c r="B65" s="10" t="s">
        <v>15</v>
      </c>
      <c r="C65" s="10" t="s">
        <v>24</v>
      </c>
      <c r="D65" s="12">
        <v>4174</v>
      </c>
      <c r="E65" s="13">
        <v>12</v>
      </c>
      <c r="F65" s="12">
        <f t="shared" si="0"/>
        <v>50088</v>
      </c>
      <c r="G65" s="12">
        <v>8013</v>
      </c>
      <c r="H65" s="12">
        <f t="shared" si="1"/>
        <v>42075</v>
      </c>
      <c r="I65" s="11">
        <v>45170</v>
      </c>
      <c r="J65" s="10" t="s">
        <v>22</v>
      </c>
      <c r="K65" s="9">
        <v>2023</v>
      </c>
    </row>
    <row r="66" spans="1:11" x14ac:dyDescent="0.35">
      <c r="A66" s="14" t="s">
        <v>19</v>
      </c>
      <c r="B66" s="10" t="s">
        <v>6</v>
      </c>
      <c r="C66" s="10" t="s">
        <v>24</v>
      </c>
      <c r="D66" s="12">
        <v>1675</v>
      </c>
      <c r="E66" s="13">
        <v>12</v>
      </c>
      <c r="F66" s="12">
        <f t="shared" ref="F66:F129" si="2">SUM(D66*E66)</f>
        <v>20100</v>
      </c>
      <c r="G66" s="12">
        <v>2298</v>
      </c>
      <c r="H66" s="12">
        <f t="shared" ref="H66:H129" si="3">F66-G66</f>
        <v>17802</v>
      </c>
      <c r="I66" s="11">
        <v>44835</v>
      </c>
      <c r="J66" s="10" t="s">
        <v>12</v>
      </c>
      <c r="K66" s="9">
        <v>2022</v>
      </c>
    </row>
    <row r="67" spans="1:11" x14ac:dyDescent="0.35">
      <c r="A67" s="14" t="s">
        <v>11</v>
      </c>
      <c r="B67" s="10" t="s">
        <v>10</v>
      </c>
      <c r="C67" s="10" t="s">
        <v>24</v>
      </c>
      <c r="D67" s="12">
        <v>1572</v>
      </c>
      <c r="E67" s="13">
        <v>300</v>
      </c>
      <c r="F67" s="12">
        <f t="shared" si="2"/>
        <v>471600</v>
      </c>
      <c r="G67" s="12">
        <v>123500</v>
      </c>
      <c r="H67" s="12">
        <f t="shared" si="3"/>
        <v>348100</v>
      </c>
      <c r="I67" s="11">
        <v>44835</v>
      </c>
      <c r="J67" s="10" t="s">
        <v>12</v>
      </c>
      <c r="K67" s="9">
        <v>2022</v>
      </c>
    </row>
    <row r="68" spans="1:11" x14ac:dyDescent="0.35">
      <c r="A68" s="14" t="s">
        <v>11</v>
      </c>
      <c r="B68" s="10" t="s">
        <v>10</v>
      </c>
      <c r="C68" s="10" t="s">
        <v>24</v>
      </c>
      <c r="D68" s="12">
        <v>3736</v>
      </c>
      <c r="E68" s="13">
        <v>350</v>
      </c>
      <c r="F68" s="12">
        <f t="shared" si="2"/>
        <v>1307600</v>
      </c>
      <c r="G68" s="12">
        <v>363220</v>
      </c>
      <c r="H68" s="12">
        <f t="shared" si="3"/>
        <v>944380</v>
      </c>
      <c r="I68" s="11">
        <v>45200</v>
      </c>
      <c r="J68" s="10" t="s">
        <v>12</v>
      </c>
      <c r="K68" s="9">
        <v>2023</v>
      </c>
    </row>
    <row r="69" spans="1:11" x14ac:dyDescent="0.35">
      <c r="A69" s="14" t="s">
        <v>16</v>
      </c>
      <c r="B69" s="10" t="s">
        <v>15</v>
      </c>
      <c r="C69" s="10" t="s">
        <v>24</v>
      </c>
      <c r="D69" s="12">
        <v>1914</v>
      </c>
      <c r="E69" s="13">
        <v>350</v>
      </c>
      <c r="F69" s="12">
        <f t="shared" si="2"/>
        <v>669900</v>
      </c>
      <c r="G69" s="12">
        <v>560300</v>
      </c>
      <c r="H69" s="12">
        <f t="shared" si="3"/>
        <v>109600</v>
      </c>
      <c r="I69" s="11">
        <v>45261</v>
      </c>
      <c r="J69" s="10" t="s">
        <v>17</v>
      </c>
      <c r="K69" s="9">
        <v>2023</v>
      </c>
    </row>
    <row r="70" spans="1:11" x14ac:dyDescent="0.35">
      <c r="A70" s="14" t="s">
        <v>11</v>
      </c>
      <c r="B70" s="10" t="s">
        <v>10</v>
      </c>
      <c r="C70" s="10" t="s">
        <v>9</v>
      </c>
      <c r="D70" s="12">
        <v>2742</v>
      </c>
      <c r="E70" s="13">
        <v>15</v>
      </c>
      <c r="F70" s="12">
        <f t="shared" si="2"/>
        <v>41130</v>
      </c>
      <c r="G70" s="12">
        <v>22140</v>
      </c>
      <c r="H70" s="12">
        <f t="shared" si="3"/>
        <v>18990</v>
      </c>
      <c r="I70" s="11">
        <v>44986</v>
      </c>
      <c r="J70" s="10" t="s">
        <v>14</v>
      </c>
      <c r="K70" s="9">
        <v>2023</v>
      </c>
    </row>
    <row r="71" spans="1:11" x14ac:dyDescent="0.35">
      <c r="A71" s="14" t="s">
        <v>3</v>
      </c>
      <c r="B71" s="10" t="s">
        <v>2</v>
      </c>
      <c r="C71" s="10" t="s">
        <v>9</v>
      </c>
      <c r="D71" s="12">
        <v>1499</v>
      </c>
      <c r="E71" s="13">
        <v>300</v>
      </c>
      <c r="F71" s="12">
        <f t="shared" si="2"/>
        <v>449700</v>
      </c>
      <c r="G71" s="12">
        <v>575250</v>
      </c>
      <c r="H71" s="12">
        <f t="shared" si="3"/>
        <v>-125550</v>
      </c>
      <c r="I71" s="11">
        <v>45017</v>
      </c>
      <c r="J71" s="10" t="s">
        <v>4</v>
      </c>
      <c r="K71" s="9">
        <v>2023</v>
      </c>
    </row>
    <row r="72" spans="1:11" x14ac:dyDescent="0.35">
      <c r="A72" s="14" t="s">
        <v>16</v>
      </c>
      <c r="B72" s="10" t="s">
        <v>15</v>
      </c>
      <c r="C72" s="10" t="s">
        <v>9</v>
      </c>
      <c r="D72" s="12">
        <v>3772</v>
      </c>
      <c r="E72" s="13">
        <v>20</v>
      </c>
      <c r="F72" s="12">
        <f t="shared" si="2"/>
        <v>75440</v>
      </c>
      <c r="G72" s="12">
        <v>13755</v>
      </c>
      <c r="H72" s="12">
        <f t="shared" si="3"/>
        <v>61685</v>
      </c>
      <c r="I72" s="11">
        <v>45108</v>
      </c>
      <c r="J72" s="10" t="s">
        <v>20</v>
      </c>
      <c r="K72" s="9">
        <v>2023</v>
      </c>
    </row>
    <row r="73" spans="1:11" x14ac:dyDescent="0.35">
      <c r="A73" s="14" t="s">
        <v>7</v>
      </c>
      <c r="B73" s="10" t="s">
        <v>6</v>
      </c>
      <c r="C73" s="10" t="s">
        <v>9</v>
      </c>
      <c r="D73" s="12">
        <v>1112</v>
      </c>
      <c r="E73" s="13">
        <v>7</v>
      </c>
      <c r="F73" s="12">
        <f t="shared" si="2"/>
        <v>7784</v>
      </c>
      <c r="G73" s="12">
        <v>9150</v>
      </c>
      <c r="H73" s="12">
        <f t="shared" si="3"/>
        <v>-1366</v>
      </c>
      <c r="I73" s="11">
        <v>45139</v>
      </c>
      <c r="J73" s="10" t="s">
        <v>23</v>
      </c>
      <c r="K73" s="9">
        <v>2023</v>
      </c>
    </row>
    <row r="74" spans="1:11" x14ac:dyDescent="0.35">
      <c r="A74" s="14" t="s">
        <v>3</v>
      </c>
      <c r="B74" s="10" t="s">
        <v>2</v>
      </c>
      <c r="C74" s="10" t="s">
        <v>9</v>
      </c>
      <c r="D74" s="12">
        <v>1723</v>
      </c>
      <c r="E74" s="13">
        <v>300</v>
      </c>
      <c r="F74" s="12">
        <f t="shared" si="2"/>
        <v>516900</v>
      </c>
      <c r="G74" s="12">
        <v>624500</v>
      </c>
      <c r="H74" s="12">
        <f t="shared" si="3"/>
        <v>-107600</v>
      </c>
      <c r="I74" s="11">
        <v>44805</v>
      </c>
      <c r="J74" s="10" t="s">
        <v>22</v>
      </c>
      <c r="K74" s="9">
        <v>2022</v>
      </c>
    </row>
    <row r="75" spans="1:11" x14ac:dyDescent="0.35">
      <c r="A75" s="14" t="s">
        <v>3</v>
      </c>
      <c r="B75" s="10" t="s">
        <v>2</v>
      </c>
      <c r="C75" s="10" t="s">
        <v>9</v>
      </c>
      <c r="D75" s="12">
        <v>423</v>
      </c>
      <c r="E75" s="13">
        <v>125</v>
      </c>
      <c r="F75" s="12">
        <f t="shared" si="2"/>
        <v>52875</v>
      </c>
      <c r="G75" s="12">
        <v>79560</v>
      </c>
      <c r="H75" s="12">
        <f t="shared" si="3"/>
        <v>-26685</v>
      </c>
      <c r="I75" s="11">
        <v>44835</v>
      </c>
      <c r="J75" s="10" t="s">
        <v>12</v>
      </c>
      <c r="K75" s="9">
        <v>2022</v>
      </c>
    </row>
    <row r="76" spans="1:11" x14ac:dyDescent="0.35">
      <c r="A76" s="14" t="s">
        <v>3</v>
      </c>
      <c r="B76" s="10" t="s">
        <v>2</v>
      </c>
      <c r="C76" s="10" t="s">
        <v>5</v>
      </c>
      <c r="D76" s="12">
        <v>2368</v>
      </c>
      <c r="E76" s="13">
        <v>15</v>
      </c>
      <c r="F76" s="12">
        <f t="shared" si="2"/>
        <v>35520</v>
      </c>
      <c r="G76" s="12">
        <v>15140</v>
      </c>
      <c r="H76" s="12">
        <f t="shared" si="3"/>
        <v>20380</v>
      </c>
      <c r="I76" s="11">
        <v>44958</v>
      </c>
      <c r="J76" s="10" t="s">
        <v>8</v>
      </c>
      <c r="K76" s="9">
        <v>2023</v>
      </c>
    </row>
    <row r="77" spans="1:11" x14ac:dyDescent="0.35">
      <c r="A77" s="14" t="s">
        <v>3</v>
      </c>
      <c r="B77" s="10" t="s">
        <v>2</v>
      </c>
      <c r="C77" s="10" t="s">
        <v>5</v>
      </c>
      <c r="D77" s="12">
        <v>1586</v>
      </c>
      <c r="E77" s="13">
        <v>7</v>
      </c>
      <c r="F77" s="12">
        <f t="shared" si="2"/>
        <v>11102</v>
      </c>
      <c r="G77" s="12">
        <v>22462.5</v>
      </c>
      <c r="H77" s="12">
        <f t="shared" si="3"/>
        <v>-11360.5</v>
      </c>
      <c r="I77" s="11">
        <v>45017</v>
      </c>
      <c r="J77" s="10" t="s">
        <v>4</v>
      </c>
      <c r="K77" s="9">
        <v>2023</v>
      </c>
    </row>
    <row r="78" spans="1:11" x14ac:dyDescent="0.35">
      <c r="A78" s="14" t="s">
        <v>3</v>
      </c>
      <c r="B78" s="10" t="s">
        <v>2</v>
      </c>
      <c r="C78" s="10" t="s">
        <v>5</v>
      </c>
      <c r="D78" s="12">
        <v>3386</v>
      </c>
      <c r="E78" s="13">
        <v>125</v>
      </c>
      <c r="F78" s="12">
        <f t="shared" si="2"/>
        <v>423250</v>
      </c>
      <c r="G78" s="12">
        <v>87240</v>
      </c>
      <c r="H78" s="12">
        <f t="shared" si="3"/>
        <v>336010</v>
      </c>
      <c r="I78" s="11">
        <v>45078</v>
      </c>
      <c r="J78" s="10" t="s">
        <v>26</v>
      </c>
      <c r="K78" s="9">
        <v>2023</v>
      </c>
    </row>
    <row r="79" spans="1:11" x14ac:dyDescent="0.35">
      <c r="A79" s="14" t="s">
        <v>16</v>
      </c>
      <c r="B79" s="10" t="s">
        <v>15</v>
      </c>
      <c r="C79" s="10" t="s">
        <v>5</v>
      </c>
      <c r="D79" s="12">
        <v>852</v>
      </c>
      <c r="E79" s="13">
        <v>125</v>
      </c>
      <c r="F79" s="12">
        <f t="shared" si="2"/>
        <v>106500</v>
      </c>
      <c r="G79" s="12">
        <v>94440</v>
      </c>
      <c r="H79" s="12">
        <f t="shared" si="3"/>
        <v>12060</v>
      </c>
      <c r="I79" s="11">
        <v>45078</v>
      </c>
      <c r="J79" s="10" t="s">
        <v>26</v>
      </c>
      <c r="K79" s="9">
        <v>2023</v>
      </c>
    </row>
    <row r="80" spans="1:11" x14ac:dyDescent="0.35">
      <c r="A80" s="14" t="s">
        <v>11</v>
      </c>
      <c r="B80" s="10" t="s">
        <v>10</v>
      </c>
      <c r="C80" s="10" t="s">
        <v>5</v>
      </c>
      <c r="D80" s="12">
        <v>2783</v>
      </c>
      <c r="E80" s="13">
        <v>125</v>
      </c>
      <c r="F80" s="12">
        <f t="shared" si="2"/>
        <v>347875</v>
      </c>
      <c r="G80" s="12">
        <v>218760</v>
      </c>
      <c r="H80" s="12">
        <f t="shared" si="3"/>
        <v>129115</v>
      </c>
      <c r="I80" s="11">
        <v>45108</v>
      </c>
      <c r="J80" s="10" t="s">
        <v>20</v>
      </c>
      <c r="K80" s="9">
        <v>2023</v>
      </c>
    </row>
    <row r="81" spans="1:11" x14ac:dyDescent="0.35">
      <c r="A81" s="14" t="s">
        <v>19</v>
      </c>
      <c r="B81" s="10" t="s">
        <v>6</v>
      </c>
      <c r="C81" s="10" t="s">
        <v>5</v>
      </c>
      <c r="D81" s="12">
        <v>2684</v>
      </c>
      <c r="E81" s="13">
        <v>15</v>
      </c>
      <c r="F81" s="12">
        <f t="shared" si="2"/>
        <v>40260</v>
      </c>
      <c r="G81" s="12">
        <v>7470</v>
      </c>
      <c r="H81" s="12">
        <f t="shared" si="3"/>
        <v>32790</v>
      </c>
      <c r="I81" s="11">
        <v>45170</v>
      </c>
      <c r="J81" s="10" t="s">
        <v>22</v>
      </c>
      <c r="K81" s="9">
        <v>2023</v>
      </c>
    </row>
    <row r="82" spans="1:11" x14ac:dyDescent="0.35">
      <c r="A82" s="14" t="s">
        <v>19</v>
      </c>
      <c r="B82" s="10" t="s">
        <v>6</v>
      </c>
      <c r="C82" s="10" t="s">
        <v>5</v>
      </c>
      <c r="D82" s="12">
        <v>4393</v>
      </c>
      <c r="E82" s="13">
        <v>12</v>
      </c>
      <c r="F82" s="12">
        <f t="shared" si="2"/>
        <v>52716</v>
      </c>
      <c r="G82" s="12">
        <v>2298</v>
      </c>
      <c r="H82" s="12">
        <f t="shared" si="3"/>
        <v>50418</v>
      </c>
      <c r="I82" s="11">
        <v>44835</v>
      </c>
      <c r="J82" s="10" t="s">
        <v>12</v>
      </c>
      <c r="K82" s="9">
        <v>2022</v>
      </c>
    </row>
    <row r="83" spans="1:11" x14ac:dyDescent="0.35">
      <c r="A83" s="14" t="s">
        <v>3</v>
      </c>
      <c r="B83" s="10" t="s">
        <v>2</v>
      </c>
      <c r="C83" s="10" t="s">
        <v>5</v>
      </c>
      <c r="D83" s="12">
        <v>4083</v>
      </c>
      <c r="E83" s="13">
        <v>300</v>
      </c>
      <c r="F83" s="12">
        <f t="shared" si="2"/>
        <v>1224900</v>
      </c>
      <c r="G83" s="12">
        <v>726250</v>
      </c>
      <c r="H83" s="12">
        <f t="shared" si="3"/>
        <v>498650</v>
      </c>
      <c r="I83" s="11">
        <v>45231</v>
      </c>
      <c r="J83" s="10" t="s">
        <v>18</v>
      </c>
      <c r="K83" s="9">
        <v>2023</v>
      </c>
    </row>
    <row r="84" spans="1:11" x14ac:dyDescent="0.35">
      <c r="A84" s="14" t="s">
        <v>16</v>
      </c>
      <c r="B84" s="10" t="s">
        <v>15</v>
      </c>
      <c r="C84" s="10" t="s">
        <v>5</v>
      </c>
      <c r="D84" s="12">
        <v>2816</v>
      </c>
      <c r="E84" s="13">
        <v>350</v>
      </c>
      <c r="F84" s="12">
        <f t="shared" si="2"/>
        <v>985600</v>
      </c>
      <c r="G84" s="12">
        <v>560300</v>
      </c>
      <c r="H84" s="12">
        <f t="shared" si="3"/>
        <v>425300</v>
      </c>
      <c r="I84" s="11">
        <v>45261</v>
      </c>
      <c r="J84" s="10" t="s">
        <v>17</v>
      </c>
      <c r="K84" s="9">
        <v>2023</v>
      </c>
    </row>
    <row r="85" spans="1:11" x14ac:dyDescent="0.35">
      <c r="A85" s="14" t="s">
        <v>16</v>
      </c>
      <c r="B85" s="10" t="s">
        <v>15</v>
      </c>
      <c r="C85" s="10" t="s">
        <v>21</v>
      </c>
      <c r="D85" s="12">
        <v>4294</v>
      </c>
      <c r="E85" s="13">
        <v>20</v>
      </c>
      <c r="F85" s="12">
        <f t="shared" si="2"/>
        <v>85880</v>
      </c>
      <c r="G85" s="12">
        <v>38640</v>
      </c>
      <c r="H85" s="12">
        <f t="shared" si="3"/>
        <v>47240</v>
      </c>
      <c r="I85" s="11">
        <v>45017</v>
      </c>
      <c r="J85" s="10" t="s">
        <v>4</v>
      </c>
      <c r="K85" s="9">
        <v>2023</v>
      </c>
    </row>
    <row r="86" spans="1:11" x14ac:dyDescent="0.35">
      <c r="A86" s="14" t="s">
        <v>11</v>
      </c>
      <c r="B86" s="10" t="s">
        <v>10</v>
      </c>
      <c r="C86" s="10" t="s">
        <v>21</v>
      </c>
      <c r="D86" s="12">
        <v>2856</v>
      </c>
      <c r="E86" s="13">
        <v>7</v>
      </c>
      <c r="F86" s="12">
        <f t="shared" si="2"/>
        <v>19992</v>
      </c>
      <c r="G86" s="12">
        <v>1810</v>
      </c>
      <c r="H86" s="12">
        <f t="shared" si="3"/>
        <v>18182</v>
      </c>
      <c r="I86" s="11">
        <v>45047</v>
      </c>
      <c r="J86" s="10" t="s">
        <v>0</v>
      </c>
      <c r="K86" s="9">
        <v>2023</v>
      </c>
    </row>
    <row r="87" spans="1:11" x14ac:dyDescent="0.35">
      <c r="A87" s="14" t="s">
        <v>7</v>
      </c>
      <c r="B87" s="10" t="s">
        <v>6</v>
      </c>
      <c r="C87" s="10" t="s">
        <v>21</v>
      </c>
      <c r="D87" s="12">
        <v>1407</v>
      </c>
      <c r="E87" s="13">
        <v>125</v>
      </c>
      <c r="F87" s="12">
        <f t="shared" si="2"/>
        <v>175875</v>
      </c>
      <c r="G87" s="12">
        <v>110760</v>
      </c>
      <c r="H87" s="12">
        <f t="shared" si="3"/>
        <v>65115</v>
      </c>
      <c r="I87" s="11">
        <v>45139</v>
      </c>
      <c r="J87" s="10" t="s">
        <v>23</v>
      </c>
      <c r="K87" s="9">
        <v>2023</v>
      </c>
    </row>
    <row r="88" spans="1:11" x14ac:dyDescent="0.35">
      <c r="A88" s="14" t="s">
        <v>3</v>
      </c>
      <c r="B88" s="10" t="s">
        <v>2</v>
      </c>
      <c r="C88" s="10" t="s">
        <v>21</v>
      </c>
      <c r="D88" s="12">
        <v>3850</v>
      </c>
      <c r="E88" s="13">
        <v>125</v>
      </c>
      <c r="F88" s="12">
        <f t="shared" si="2"/>
        <v>481250</v>
      </c>
      <c r="G88" s="12">
        <v>79560</v>
      </c>
      <c r="H88" s="12">
        <f t="shared" si="3"/>
        <v>401690</v>
      </c>
      <c r="I88" s="11">
        <v>44835</v>
      </c>
      <c r="J88" s="10" t="s">
        <v>12</v>
      </c>
      <c r="K88" s="9">
        <v>2022</v>
      </c>
    </row>
    <row r="89" spans="1:11" x14ac:dyDescent="0.35">
      <c r="A89" s="14" t="s">
        <v>7</v>
      </c>
      <c r="B89" s="10" t="s">
        <v>6</v>
      </c>
      <c r="C89" s="10" t="s">
        <v>21</v>
      </c>
      <c r="D89" s="12">
        <v>2856</v>
      </c>
      <c r="E89" s="13">
        <v>7</v>
      </c>
      <c r="F89" s="12">
        <f t="shared" si="2"/>
        <v>19992</v>
      </c>
      <c r="G89" s="12">
        <v>10460</v>
      </c>
      <c r="H89" s="12">
        <f t="shared" si="3"/>
        <v>9532</v>
      </c>
      <c r="I89" s="11">
        <v>44866</v>
      </c>
      <c r="J89" s="10" t="s">
        <v>18</v>
      </c>
      <c r="K89" s="9">
        <v>2022</v>
      </c>
    </row>
    <row r="90" spans="1:11" x14ac:dyDescent="0.35">
      <c r="A90" s="14" t="s">
        <v>19</v>
      </c>
      <c r="B90" s="10" t="s">
        <v>6</v>
      </c>
      <c r="C90" s="10" t="s">
        <v>1</v>
      </c>
      <c r="D90" s="12">
        <v>1265</v>
      </c>
      <c r="E90" s="13">
        <v>7</v>
      </c>
      <c r="F90" s="12">
        <f t="shared" si="2"/>
        <v>8855</v>
      </c>
      <c r="G90" s="12">
        <v>1315</v>
      </c>
      <c r="H90" s="12">
        <f t="shared" si="3"/>
        <v>7540</v>
      </c>
      <c r="I90" s="11">
        <v>44986</v>
      </c>
      <c r="J90" s="10" t="s">
        <v>14</v>
      </c>
      <c r="K90" s="9">
        <v>2023</v>
      </c>
    </row>
    <row r="91" spans="1:11" x14ac:dyDescent="0.35">
      <c r="A91" s="14" t="s">
        <v>7</v>
      </c>
      <c r="B91" s="10" t="s">
        <v>6</v>
      </c>
      <c r="C91" s="10" t="s">
        <v>1</v>
      </c>
      <c r="D91" s="12">
        <v>3892</v>
      </c>
      <c r="E91" s="13">
        <v>350</v>
      </c>
      <c r="F91" s="12">
        <f t="shared" si="2"/>
        <v>1362200</v>
      </c>
      <c r="G91" s="12">
        <v>245310</v>
      </c>
      <c r="H91" s="12">
        <f t="shared" si="3"/>
        <v>1116890</v>
      </c>
      <c r="I91" s="11">
        <v>45017</v>
      </c>
      <c r="J91" s="10" t="s">
        <v>4</v>
      </c>
      <c r="K91" s="9">
        <v>2023</v>
      </c>
    </row>
    <row r="92" spans="1:11" x14ac:dyDescent="0.35">
      <c r="A92" s="14" t="s">
        <v>3</v>
      </c>
      <c r="B92" s="10" t="s">
        <v>2</v>
      </c>
      <c r="C92" s="10" t="s">
        <v>1</v>
      </c>
      <c r="D92" s="12">
        <v>3068</v>
      </c>
      <c r="E92" s="13">
        <v>125</v>
      </c>
      <c r="F92" s="12">
        <f t="shared" si="2"/>
        <v>383500</v>
      </c>
      <c r="G92" s="12">
        <v>87240</v>
      </c>
      <c r="H92" s="12">
        <f t="shared" si="3"/>
        <v>296260</v>
      </c>
      <c r="I92" s="11">
        <v>45078</v>
      </c>
      <c r="J92" s="10" t="s">
        <v>26</v>
      </c>
      <c r="K92" s="9">
        <v>2023</v>
      </c>
    </row>
    <row r="93" spans="1:11" x14ac:dyDescent="0.35">
      <c r="A93" s="14" t="s">
        <v>16</v>
      </c>
      <c r="B93" s="10" t="s">
        <v>15</v>
      </c>
      <c r="C93" s="10" t="s">
        <v>1</v>
      </c>
      <c r="D93" s="12">
        <v>2181</v>
      </c>
      <c r="E93" s="13">
        <v>125</v>
      </c>
      <c r="F93" s="12">
        <f t="shared" si="2"/>
        <v>272625</v>
      </c>
      <c r="G93" s="12">
        <v>94440</v>
      </c>
      <c r="H93" s="12">
        <f t="shared" si="3"/>
        <v>178185</v>
      </c>
      <c r="I93" s="11">
        <v>45078</v>
      </c>
      <c r="J93" s="10" t="s">
        <v>26</v>
      </c>
      <c r="K93" s="9">
        <v>2023</v>
      </c>
    </row>
    <row r="94" spans="1:11" x14ac:dyDescent="0.35">
      <c r="A94" s="14" t="s">
        <v>19</v>
      </c>
      <c r="B94" s="10" t="s">
        <v>6</v>
      </c>
      <c r="C94" s="10" t="s">
        <v>1</v>
      </c>
      <c r="D94" s="12">
        <v>1356</v>
      </c>
      <c r="E94" s="13">
        <v>300</v>
      </c>
      <c r="F94" s="12">
        <f t="shared" si="2"/>
        <v>406800</v>
      </c>
      <c r="G94" s="12">
        <v>246500</v>
      </c>
      <c r="H94" s="12">
        <f t="shared" si="3"/>
        <v>160300</v>
      </c>
      <c r="I94" s="11">
        <v>45170</v>
      </c>
      <c r="J94" s="10" t="s">
        <v>22</v>
      </c>
      <c r="K94" s="9">
        <v>2023</v>
      </c>
    </row>
    <row r="95" spans="1:11" x14ac:dyDescent="0.35">
      <c r="A95" s="14" t="s">
        <v>11</v>
      </c>
      <c r="B95" s="10" t="s">
        <v>10</v>
      </c>
      <c r="C95" s="10" t="s">
        <v>1</v>
      </c>
      <c r="D95" s="12">
        <v>2545</v>
      </c>
      <c r="E95" s="13">
        <v>300</v>
      </c>
      <c r="F95" s="12">
        <f t="shared" si="2"/>
        <v>763500</v>
      </c>
      <c r="G95" s="12">
        <v>123500</v>
      </c>
      <c r="H95" s="12">
        <f t="shared" si="3"/>
        <v>640000</v>
      </c>
      <c r="I95" s="11">
        <v>44835</v>
      </c>
      <c r="J95" s="10" t="s">
        <v>12</v>
      </c>
      <c r="K95" s="9">
        <v>2022</v>
      </c>
    </row>
    <row r="96" spans="1:11" x14ac:dyDescent="0.35">
      <c r="A96" s="14" t="s">
        <v>11</v>
      </c>
      <c r="B96" s="10" t="s">
        <v>10</v>
      </c>
      <c r="C96" s="10" t="s">
        <v>1</v>
      </c>
      <c r="D96" s="12">
        <v>1814</v>
      </c>
      <c r="E96" s="13">
        <v>350</v>
      </c>
      <c r="F96" s="12">
        <f t="shared" si="2"/>
        <v>634900</v>
      </c>
      <c r="G96" s="12">
        <v>363220</v>
      </c>
      <c r="H96" s="12">
        <f t="shared" si="3"/>
        <v>271680</v>
      </c>
      <c r="I96" s="11">
        <v>45200</v>
      </c>
      <c r="J96" s="10" t="s">
        <v>12</v>
      </c>
      <c r="K96" s="9">
        <v>2023</v>
      </c>
    </row>
    <row r="97" spans="1:11" x14ac:dyDescent="0.35">
      <c r="A97" s="14" t="s">
        <v>16</v>
      </c>
      <c r="B97" s="10" t="s">
        <v>15</v>
      </c>
      <c r="C97" s="10" t="s">
        <v>1</v>
      </c>
      <c r="D97" s="12">
        <v>1495</v>
      </c>
      <c r="E97" s="13">
        <v>125</v>
      </c>
      <c r="F97" s="12">
        <f t="shared" si="2"/>
        <v>186875</v>
      </c>
      <c r="G97" s="12">
        <v>209280</v>
      </c>
      <c r="H97" s="12">
        <f t="shared" si="3"/>
        <v>-22405</v>
      </c>
      <c r="I97" s="11">
        <v>45231</v>
      </c>
      <c r="J97" s="10" t="s">
        <v>18</v>
      </c>
      <c r="K97" s="9">
        <v>2023</v>
      </c>
    </row>
    <row r="98" spans="1:11" x14ac:dyDescent="0.35">
      <c r="A98" s="14" t="s">
        <v>3</v>
      </c>
      <c r="B98" s="10" t="s">
        <v>2</v>
      </c>
      <c r="C98" s="10" t="s">
        <v>13</v>
      </c>
      <c r="D98" s="12">
        <v>1154</v>
      </c>
      <c r="E98" s="13">
        <v>12</v>
      </c>
      <c r="F98" s="12">
        <f t="shared" si="2"/>
        <v>13848</v>
      </c>
      <c r="G98" s="12">
        <v>5967</v>
      </c>
      <c r="H98" s="12">
        <f t="shared" si="3"/>
        <v>7881</v>
      </c>
      <c r="I98" s="11">
        <v>44805</v>
      </c>
      <c r="J98" s="10" t="s">
        <v>22</v>
      </c>
      <c r="K98" s="9">
        <v>2022</v>
      </c>
    </row>
    <row r="99" spans="1:11" x14ac:dyDescent="0.35">
      <c r="A99" s="14" t="s">
        <v>16</v>
      </c>
      <c r="B99" s="10" t="s">
        <v>15</v>
      </c>
      <c r="C99" s="10" t="s">
        <v>13</v>
      </c>
      <c r="D99" s="12">
        <v>4180</v>
      </c>
      <c r="E99" s="13">
        <v>15</v>
      </c>
      <c r="F99" s="12">
        <f t="shared" si="2"/>
        <v>62700</v>
      </c>
      <c r="G99" s="12">
        <v>3210</v>
      </c>
      <c r="H99" s="12">
        <f t="shared" si="3"/>
        <v>59490</v>
      </c>
      <c r="I99" s="11">
        <v>44866</v>
      </c>
      <c r="J99" s="10" t="s">
        <v>18</v>
      </c>
      <c r="K99" s="9">
        <v>2022</v>
      </c>
    </row>
    <row r="100" spans="1:11" x14ac:dyDescent="0.35">
      <c r="A100" s="14" t="s">
        <v>7</v>
      </c>
      <c r="B100" s="10" t="s">
        <v>6</v>
      </c>
      <c r="C100" s="10" t="s">
        <v>24</v>
      </c>
      <c r="D100" s="12">
        <v>1463</v>
      </c>
      <c r="E100" s="13">
        <v>125</v>
      </c>
      <c r="F100" s="12">
        <f t="shared" si="2"/>
        <v>182875</v>
      </c>
      <c r="G100" s="12">
        <v>89100</v>
      </c>
      <c r="H100" s="12">
        <f t="shared" si="3"/>
        <v>93775</v>
      </c>
      <c r="I100" s="11">
        <v>45017</v>
      </c>
      <c r="J100" s="10" t="s">
        <v>4</v>
      </c>
      <c r="K100" s="9">
        <v>2023</v>
      </c>
    </row>
    <row r="101" spans="1:11" x14ac:dyDescent="0.35">
      <c r="A101" s="14" t="s">
        <v>7</v>
      </c>
      <c r="B101" s="10" t="s">
        <v>6</v>
      </c>
      <c r="C101" s="10" t="s">
        <v>24</v>
      </c>
      <c r="D101" s="12">
        <v>215</v>
      </c>
      <c r="E101" s="13">
        <v>12</v>
      </c>
      <c r="F101" s="12">
        <f t="shared" si="2"/>
        <v>2580</v>
      </c>
      <c r="G101" s="12">
        <v>3885</v>
      </c>
      <c r="H101" s="12">
        <f t="shared" si="3"/>
        <v>-1305</v>
      </c>
      <c r="I101" s="11">
        <v>45200</v>
      </c>
      <c r="J101" s="10" t="s">
        <v>12</v>
      </c>
      <c r="K101" s="9">
        <v>2023</v>
      </c>
    </row>
    <row r="102" spans="1:11" x14ac:dyDescent="0.35">
      <c r="A102" s="14" t="s">
        <v>19</v>
      </c>
      <c r="B102" s="10" t="s">
        <v>6</v>
      </c>
      <c r="C102" s="10" t="s">
        <v>24</v>
      </c>
      <c r="D102" s="12">
        <v>4099</v>
      </c>
      <c r="E102" s="13">
        <v>300</v>
      </c>
      <c r="F102" s="12">
        <f t="shared" si="2"/>
        <v>1229700</v>
      </c>
      <c r="G102" s="12">
        <v>53500</v>
      </c>
      <c r="H102" s="12">
        <f t="shared" si="3"/>
        <v>1176200</v>
      </c>
      <c r="I102" s="11">
        <v>44835</v>
      </c>
      <c r="J102" s="10" t="s">
        <v>12</v>
      </c>
      <c r="K102" s="9">
        <v>2022</v>
      </c>
    </row>
    <row r="103" spans="1:11" x14ac:dyDescent="0.35">
      <c r="A103" s="14" t="s">
        <v>16</v>
      </c>
      <c r="B103" s="10" t="s">
        <v>15</v>
      </c>
      <c r="C103" s="10" t="s">
        <v>24</v>
      </c>
      <c r="D103" s="12">
        <v>2660</v>
      </c>
      <c r="E103" s="13">
        <v>7</v>
      </c>
      <c r="F103" s="12">
        <f t="shared" si="2"/>
        <v>18620</v>
      </c>
      <c r="G103" s="12">
        <v>10725</v>
      </c>
      <c r="H103" s="12">
        <f t="shared" si="3"/>
        <v>7895</v>
      </c>
      <c r="I103" s="11">
        <v>44866</v>
      </c>
      <c r="J103" s="10" t="s">
        <v>18</v>
      </c>
      <c r="K103" s="9">
        <v>2022</v>
      </c>
    </row>
    <row r="104" spans="1:11" x14ac:dyDescent="0.35">
      <c r="A104" s="14" t="s">
        <v>7</v>
      </c>
      <c r="B104" s="10" t="s">
        <v>6</v>
      </c>
      <c r="C104" s="10" t="s">
        <v>24</v>
      </c>
      <c r="D104" s="12">
        <v>566</v>
      </c>
      <c r="E104" s="13">
        <v>350</v>
      </c>
      <c r="F104" s="12">
        <f t="shared" si="2"/>
        <v>198100</v>
      </c>
      <c r="G104" s="12">
        <v>741520</v>
      </c>
      <c r="H104" s="12">
        <f t="shared" si="3"/>
        <v>-543420</v>
      </c>
      <c r="I104" s="11">
        <v>45261</v>
      </c>
      <c r="J104" s="10" t="s">
        <v>17</v>
      </c>
      <c r="K104" s="9">
        <v>2023</v>
      </c>
    </row>
    <row r="105" spans="1:11" x14ac:dyDescent="0.35">
      <c r="A105" s="14" t="s">
        <v>3</v>
      </c>
      <c r="B105" s="10" t="s">
        <v>2</v>
      </c>
      <c r="C105" s="10" t="s">
        <v>9</v>
      </c>
      <c r="D105" s="12">
        <v>3255</v>
      </c>
      <c r="E105" s="13">
        <v>12</v>
      </c>
      <c r="F105" s="12">
        <f t="shared" si="2"/>
        <v>39060</v>
      </c>
      <c r="G105" s="12">
        <v>3426</v>
      </c>
      <c r="H105" s="12">
        <f t="shared" si="3"/>
        <v>35634</v>
      </c>
      <c r="I105" s="11">
        <v>45078</v>
      </c>
      <c r="J105" s="10" t="s">
        <v>26</v>
      </c>
      <c r="K105" s="9">
        <v>2023</v>
      </c>
    </row>
    <row r="106" spans="1:11" x14ac:dyDescent="0.35">
      <c r="A106" s="14" t="s">
        <v>3</v>
      </c>
      <c r="B106" s="10" t="s">
        <v>2</v>
      </c>
      <c r="C106" s="10" t="s">
        <v>9</v>
      </c>
      <c r="D106" s="12">
        <v>772</v>
      </c>
      <c r="E106" s="13">
        <v>20</v>
      </c>
      <c r="F106" s="12">
        <f t="shared" si="2"/>
        <v>15440</v>
      </c>
      <c r="G106" s="12">
        <v>15660</v>
      </c>
      <c r="H106" s="12">
        <f t="shared" si="3"/>
        <v>-220</v>
      </c>
      <c r="I106" s="11">
        <v>45200</v>
      </c>
      <c r="J106" s="10" t="s">
        <v>12</v>
      </c>
      <c r="K106" s="9">
        <v>2023</v>
      </c>
    </row>
    <row r="107" spans="1:11" x14ac:dyDescent="0.35">
      <c r="A107" s="14" t="s">
        <v>11</v>
      </c>
      <c r="B107" s="10" t="s">
        <v>10</v>
      </c>
      <c r="C107" s="10" t="s">
        <v>9</v>
      </c>
      <c r="D107" s="12">
        <v>1135</v>
      </c>
      <c r="E107" s="13">
        <v>12</v>
      </c>
      <c r="F107" s="12">
        <f t="shared" si="2"/>
        <v>13620</v>
      </c>
      <c r="G107" s="12">
        <v>2070</v>
      </c>
      <c r="H107" s="12">
        <f t="shared" si="3"/>
        <v>11550</v>
      </c>
      <c r="I107" s="11">
        <v>45231</v>
      </c>
      <c r="J107" s="10" t="s">
        <v>18</v>
      </c>
      <c r="K107" s="9">
        <v>2023</v>
      </c>
    </row>
    <row r="108" spans="1:11" x14ac:dyDescent="0.35">
      <c r="A108" s="14" t="s">
        <v>11</v>
      </c>
      <c r="B108" s="10" t="s">
        <v>10</v>
      </c>
      <c r="C108" s="10" t="s">
        <v>9</v>
      </c>
      <c r="D108" s="12">
        <v>3826</v>
      </c>
      <c r="E108" s="13">
        <v>125</v>
      </c>
      <c r="F108" s="12">
        <f t="shared" si="2"/>
        <v>478250</v>
      </c>
      <c r="G108" s="12">
        <v>199200</v>
      </c>
      <c r="H108" s="12">
        <f t="shared" si="3"/>
        <v>279050</v>
      </c>
      <c r="I108" s="11">
        <v>44866</v>
      </c>
      <c r="J108" s="10" t="s">
        <v>18</v>
      </c>
      <c r="K108" s="9">
        <v>2022</v>
      </c>
    </row>
    <row r="109" spans="1:11" x14ac:dyDescent="0.35">
      <c r="A109" s="14" t="s">
        <v>7</v>
      </c>
      <c r="B109" s="10" t="s">
        <v>6</v>
      </c>
      <c r="C109" s="10" t="s">
        <v>5</v>
      </c>
      <c r="D109" s="12">
        <v>1193</v>
      </c>
      <c r="E109" s="13">
        <v>15</v>
      </c>
      <c r="F109" s="12">
        <f t="shared" si="2"/>
        <v>17895</v>
      </c>
      <c r="G109" s="12">
        <v>23630</v>
      </c>
      <c r="H109" s="12">
        <f t="shared" si="3"/>
        <v>-5735</v>
      </c>
      <c r="I109" s="11">
        <v>44958</v>
      </c>
      <c r="J109" s="10" t="s">
        <v>8</v>
      </c>
      <c r="K109" s="9">
        <v>2023</v>
      </c>
    </row>
    <row r="110" spans="1:11" x14ac:dyDescent="0.35">
      <c r="A110" s="14" t="s">
        <v>16</v>
      </c>
      <c r="B110" s="10" t="s">
        <v>15</v>
      </c>
      <c r="C110" s="10" t="s">
        <v>5</v>
      </c>
      <c r="D110" s="12">
        <v>2530</v>
      </c>
      <c r="E110" s="13">
        <v>300</v>
      </c>
      <c r="F110" s="12">
        <f t="shared" si="2"/>
        <v>759000</v>
      </c>
      <c r="G110" s="12">
        <v>229500</v>
      </c>
      <c r="H110" s="12">
        <f t="shared" si="3"/>
        <v>529500</v>
      </c>
      <c r="I110" s="11">
        <v>45047</v>
      </c>
      <c r="J110" s="10" t="s">
        <v>0</v>
      </c>
      <c r="K110" s="9">
        <v>2023</v>
      </c>
    </row>
    <row r="111" spans="1:11" x14ac:dyDescent="0.35">
      <c r="A111" s="14" t="s">
        <v>19</v>
      </c>
      <c r="B111" s="10" t="s">
        <v>6</v>
      </c>
      <c r="C111" s="10" t="s">
        <v>5</v>
      </c>
      <c r="D111" s="12">
        <v>3451</v>
      </c>
      <c r="E111" s="13">
        <v>300</v>
      </c>
      <c r="F111" s="12">
        <f t="shared" si="2"/>
        <v>1035300</v>
      </c>
      <c r="G111" s="12">
        <v>432000</v>
      </c>
      <c r="H111" s="12">
        <f t="shared" si="3"/>
        <v>603300</v>
      </c>
      <c r="I111" s="11">
        <v>45047</v>
      </c>
      <c r="J111" s="10" t="s">
        <v>0</v>
      </c>
      <c r="K111" s="9">
        <v>2023</v>
      </c>
    </row>
    <row r="112" spans="1:11" x14ac:dyDescent="0.35">
      <c r="A112" s="14" t="s">
        <v>3</v>
      </c>
      <c r="B112" s="10" t="s">
        <v>2</v>
      </c>
      <c r="C112" s="10" t="s">
        <v>5</v>
      </c>
      <c r="D112" s="12">
        <v>3059</v>
      </c>
      <c r="E112" s="13">
        <v>12</v>
      </c>
      <c r="F112" s="12">
        <f t="shared" si="2"/>
        <v>36708</v>
      </c>
      <c r="G112" s="12">
        <v>3426</v>
      </c>
      <c r="H112" s="12">
        <f t="shared" si="3"/>
        <v>33282</v>
      </c>
      <c r="I112" s="11">
        <v>45078</v>
      </c>
      <c r="J112" s="10" t="s">
        <v>26</v>
      </c>
      <c r="K112" s="9">
        <v>2023</v>
      </c>
    </row>
    <row r="113" spans="1:11" x14ac:dyDescent="0.35">
      <c r="A113" s="14" t="s">
        <v>11</v>
      </c>
      <c r="B113" s="10" t="s">
        <v>10</v>
      </c>
      <c r="C113" s="10" t="s">
        <v>5</v>
      </c>
      <c r="D113" s="12">
        <v>3957</v>
      </c>
      <c r="E113" s="13">
        <v>125</v>
      </c>
      <c r="F113" s="12">
        <f t="shared" si="2"/>
        <v>494625</v>
      </c>
      <c r="G113" s="12">
        <v>79440</v>
      </c>
      <c r="H113" s="12">
        <f t="shared" si="3"/>
        <v>415185</v>
      </c>
      <c r="I113" s="11">
        <v>45078</v>
      </c>
      <c r="J113" s="10" t="s">
        <v>26</v>
      </c>
      <c r="K113" s="9">
        <v>2023</v>
      </c>
    </row>
    <row r="114" spans="1:11" x14ac:dyDescent="0.35">
      <c r="A114" s="14" t="s">
        <v>7</v>
      </c>
      <c r="B114" s="10" t="s">
        <v>6</v>
      </c>
      <c r="C114" s="10" t="s">
        <v>5</v>
      </c>
      <c r="D114" s="12">
        <v>3444</v>
      </c>
      <c r="E114" s="13">
        <v>12</v>
      </c>
      <c r="F114" s="12">
        <f t="shared" si="2"/>
        <v>41328</v>
      </c>
      <c r="G114" s="12">
        <v>3885</v>
      </c>
      <c r="H114" s="12">
        <f t="shared" si="3"/>
        <v>37443</v>
      </c>
      <c r="I114" s="11">
        <v>45200</v>
      </c>
      <c r="J114" s="10" t="s">
        <v>12</v>
      </c>
      <c r="K114" s="9">
        <v>2023</v>
      </c>
    </row>
    <row r="115" spans="1:11" x14ac:dyDescent="0.35">
      <c r="A115" s="14" t="s">
        <v>19</v>
      </c>
      <c r="B115" s="10" t="s">
        <v>6</v>
      </c>
      <c r="C115" s="10" t="s">
        <v>5</v>
      </c>
      <c r="D115" s="12">
        <v>4388</v>
      </c>
      <c r="E115" s="13">
        <v>125</v>
      </c>
      <c r="F115" s="12">
        <f t="shared" si="2"/>
        <v>548500</v>
      </c>
      <c r="G115" s="12">
        <v>97080</v>
      </c>
      <c r="H115" s="12">
        <f t="shared" si="3"/>
        <v>451420</v>
      </c>
      <c r="I115" s="11">
        <v>44835</v>
      </c>
      <c r="J115" s="10" t="s">
        <v>12</v>
      </c>
      <c r="K115" s="9">
        <v>2022</v>
      </c>
    </row>
    <row r="116" spans="1:11" x14ac:dyDescent="0.35">
      <c r="A116" s="14" t="s">
        <v>11</v>
      </c>
      <c r="B116" s="10" t="s">
        <v>10</v>
      </c>
      <c r="C116" s="10" t="s">
        <v>5</v>
      </c>
      <c r="D116" s="12">
        <v>2106</v>
      </c>
      <c r="E116" s="13">
        <v>125</v>
      </c>
      <c r="F116" s="12">
        <f t="shared" si="2"/>
        <v>263250</v>
      </c>
      <c r="G116" s="12">
        <v>257400</v>
      </c>
      <c r="H116" s="12">
        <f t="shared" si="3"/>
        <v>5850</v>
      </c>
      <c r="I116" s="11">
        <v>44835</v>
      </c>
      <c r="J116" s="10" t="s">
        <v>12</v>
      </c>
      <c r="K116" s="9">
        <v>2022</v>
      </c>
    </row>
    <row r="117" spans="1:11" x14ac:dyDescent="0.35">
      <c r="A117" s="14" t="s">
        <v>16</v>
      </c>
      <c r="B117" s="10" t="s">
        <v>15</v>
      </c>
      <c r="C117" s="10" t="s">
        <v>5</v>
      </c>
      <c r="D117" s="12">
        <v>799</v>
      </c>
      <c r="E117" s="13">
        <v>12</v>
      </c>
      <c r="F117" s="12">
        <f t="shared" si="2"/>
        <v>9588</v>
      </c>
      <c r="G117" s="12">
        <v>5355</v>
      </c>
      <c r="H117" s="12">
        <f t="shared" si="3"/>
        <v>4233</v>
      </c>
      <c r="I117" s="11">
        <v>44866</v>
      </c>
      <c r="J117" s="10" t="s">
        <v>18</v>
      </c>
      <c r="K117" s="9">
        <v>2022</v>
      </c>
    </row>
    <row r="118" spans="1:11" x14ac:dyDescent="0.35">
      <c r="A118" s="14" t="s">
        <v>7</v>
      </c>
      <c r="B118" s="10" t="s">
        <v>6</v>
      </c>
      <c r="C118" s="10" t="s">
        <v>5</v>
      </c>
      <c r="D118" s="12">
        <v>3154</v>
      </c>
      <c r="E118" s="13">
        <v>300</v>
      </c>
      <c r="F118" s="12">
        <f t="shared" si="2"/>
        <v>946200</v>
      </c>
      <c r="G118" s="12">
        <v>479000</v>
      </c>
      <c r="H118" s="12">
        <f t="shared" si="3"/>
        <v>467200</v>
      </c>
      <c r="I118" s="11">
        <v>45261</v>
      </c>
      <c r="J118" s="10" t="s">
        <v>17</v>
      </c>
      <c r="K118" s="9">
        <v>2023</v>
      </c>
    </row>
    <row r="119" spans="1:11" x14ac:dyDescent="0.35">
      <c r="A119" s="14" t="s">
        <v>7</v>
      </c>
      <c r="B119" s="10" t="s">
        <v>6</v>
      </c>
      <c r="C119" s="10" t="s">
        <v>5</v>
      </c>
      <c r="D119" s="12">
        <v>4108</v>
      </c>
      <c r="E119" s="13">
        <v>350</v>
      </c>
      <c r="F119" s="12">
        <f t="shared" si="2"/>
        <v>1437800</v>
      </c>
      <c r="G119" s="12">
        <v>741520</v>
      </c>
      <c r="H119" s="12">
        <f t="shared" si="3"/>
        <v>696280</v>
      </c>
      <c r="I119" s="11">
        <v>45261</v>
      </c>
      <c r="J119" s="10" t="s">
        <v>17</v>
      </c>
      <c r="K119" s="9">
        <v>2023</v>
      </c>
    </row>
    <row r="120" spans="1:11" x14ac:dyDescent="0.35">
      <c r="A120" s="14" t="s">
        <v>7</v>
      </c>
      <c r="B120" s="10" t="s">
        <v>6</v>
      </c>
      <c r="C120" s="10" t="s">
        <v>5</v>
      </c>
      <c r="D120" s="12">
        <v>3760</v>
      </c>
      <c r="E120" s="13">
        <v>125</v>
      </c>
      <c r="F120" s="12">
        <f t="shared" si="2"/>
        <v>470000</v>
      </c>
      <c r="G120" s="12">
        <v>327480</v>
      </c>
      <c r="H120" s="12">
        <f t="shared" si="3"/>
        <v>142520</v>
      </c>
      <c r="I120" s="11">
        <v>45261</v>
      </c>
      <c r="J120" s="10" t="s">
        <v>17</v>
      </c>
      <c r="K120" s="9">
        <v>2023</v>
      </c>
    </row>
    <row r="121" spans="1:11" x14ac:dyDescent="0.35">
      <c r="A121" s="14" t="s">
        <v>3</v>
      </c>
      <c r="B121" s="10" t="s">
        <v>2</v>
      </c>
      <c r="C121" s="10" t="s">
        <v>5</v>
      </c>
      <c r="D121" s="12">
        <v>377</v>
      </c>
      <c r="E121" s="13">
        <v>15</v>
      </c>
      <c r="F121" s="12">
        <f t="shared" si="2"/>
        <v>5655</v>
      </c>
      <c r="G121" s="12">
        <v>19250</v>
      </c>
      <c r="H121" s="12">
        <f t="shared" si="3"/>
        <v>-13595</v>
      </c>
      <c r="I121" s="11">
        <v>44896</v>
      </c>
      <c r="J121" s="10" t="s">
        <v>17</v>
      </c>
      <c r="K121" s="9">
        <v>2022</v>
      </c>
    </row>
    <row r="122" spans="1:11" x14ac:dyDescent="0.35">
      <c r="A122" s="14" t="s">
        <v>3</v>
      </c>
      <c r="B122" s="10" t="s">
        <v>2</v>
      </c>
      <c r="C122" s="10" t="s">
        <v>5</v>
      </c>
      <c r="D122" s="12">
        <v>2110</v>
      </c>
      <c r="E122" s="13">
        <v>7</v>
      </c>
      <c r="F122" s="12">
        <f t="shared" si="2"/>
        <v>14770</v>
      </c>
      <c r="G122" s="12">
        <v>10065</v>
      </c>
      <c r="H122" s="12">
        <f t="shared" si="3"/>
        <v>4705</v>
      </c>
      <c r="I122" s="11">
        <v>44896</v>
      </c>
      <c r="J122" s="10" t="s">
        <v>17</v>
      </c>
      <c r="K122" s="9">
        <v>2022</v>
      </c>
    </row>
    <row r="123" spans="1:11" x14ac:dyDescent="0.35">
      <c r="A123" s="14" t="s">
        <v>16</v>
      </c>
      <c r="B123" s="10" t="s">
        <v>15</v>
      </c>
      <c r="C123" s="10" t="s">
        <v>5</v>
      </c>
      <c r="D123" s="12">
        <v>2334</v>
      </c>
      <c r="E123" s="13">
        <v>12</v>
      </c>
      <c r="F123" s="12">
        <f t="shared" si="2"/>
        <v>28008</v>
      </c>
      <c r="G123" s="12">
        <v>3165</v>
      </c>
      <c r="H123" s="12">
        <f t="shared" si="3"/>
        <v>24843</v>
      </c>
      <c r="I123" s="11">
        <v>45261</v>
      </c>
      <c r="J123" s="10" t="s">
        <v>17</v>
      </c>
      <c r="K123" s="9">
        <v>2023</v>
      </c>
    </row>
    <row r="124" spans="1:11" x14ac:dyDescent="0.35">
      <c r="A124" s="14" t="s">
        <v>11</v>
      </c>
      <c r="B124" s="10" t="s">
        <v>10</v>
      </c>
      <c r="C124" s="10" t="s">
        <v>5</v>
      </c>
      <c r="D124" s="12">
        <v>580</v>
      </c>
      <c r="E124" s="13">
        <v>12</v>
      </c>
      <c r="F124" s="12">
        <f t="shared" si="2"/>
        <v>6960</v>
      </c>
      <c r="G124" s="12">
        <v>3252</v>
      </c>
      <c r="H124" s="12">
        <f t="shared" si="3"/>
        <v>3708</v>
      </c>
      <c r="I124" s="11">
        <v>45261</v>
      </c>
      <c r="J124" s="10" t="s">
        <v>17</v>
      </c>
      <c r="K124" s="9">
        <v>2023</v>
      </c>
    </row>
    <row r="125" spans="1:11" x14ac:dyDescent="0.35">
      <c r="A125" s="14" t="s">
        <v>3</v>
      </c>
      <c r="B125" s="10" t="s">
        <v>2</v>
      </c>
      <c r="C125" s="10" t="s">
        <v>21</v>
      </c>
      <c r="D125" s="12">
        <v>2610</v>
      </c>
      <c r="E125" s="13">
        <v>20</v>
      </c>
      <c r="F125" s="12">
        <f t="shared" si="2"/>
        <v>52200</v>
      </c>
      <c r="G125" s="12">
        <v>15660</v>
      </c>
      <c r="H125" s="12">
        <f t="shared" si="3"/>
        <v>36540</v>
      </c>
      <c r="I125" s="11">
        <v>45200</v>
      </c>
      <c r="J125" s="10" t="s">
        <v>12</v>
      </c>
      <c r="K125" s="9">
        <v>2023</v>
      </c>
    </row>
    <row r="126" spans="1:11" x14ac:dyDescent="0.35">
      <c r="A126" s="14" t="s">
        <v>19</v>
      </c>
      <c r="B126" s="10" t="s">
        <v>6</v>
      </c>
      <c r="C126" s="10" t="s">
        <v>21</v>
      </c>
      <c r="D126" s="12">
        <v>1598</v>
      </c>
      <c r="E126" s="13">
        <v>350</v>
      </c>
      <c r="F126" s="12">
        <f t="shared" si="2"/>
        <v>559300</v>
      </c>
      <c r="G126" s="12">
        <v>771160</v>
      </c>
      <c r="H126" s="12">
        <f t="shared" si="3"/>
        <v>-211860</v>
      </c>
      <c r="I126" s="11">
        <v>44835</v>
      </c>
      <c r="J126" s="10" t="s">
        <v>12</v>
      </c>
      <c r="K126" s="9">
        <v>2022</v>
      </c>
    </row>
    <row r="127" spans="1:11" x14ac:dyDescent="0.35">
      <c r="A127" s="14" t="s">
        <v>19</v>
      </c>
      <c r="B127" s="10" t="s">
        <v>6</v>
      </c>
      <c r="C127" s="10" t="s">
        <v>21</v>
      </c>
      <c r="D127" s="12">
        <v>1459</v>
      </c>
      <c r="E127" s="13">
        <v>350</v>
      </c>
      <c r="F127" s="12">
        <f t="shared" si="2"/>
        <v>510650</v>
      </c>
      <c r="G127" s="12">
        <v>748020</v>
      </c>
      <c r="H127" s="12">
        <f t="shared" si="3"/>
        <v>-237370</v>
      </c>
      <c r="I127" s="11">
        <v>45200</v>
      </c>
      <c r="J127" s="10" t="s">
        <v>12</v>
      </c>
      <c r="K127" s="9">
        <v>2023</v>
      </c>
    </row>
    <row r="128" spans="1:11" x14ac:dyDescent="0.35">
      <c r="A128" s="14" t="s">
        <v>19</v>
      </c>
      <c r="B128" s="10" t="s">
        <v>6</v>
      </c>
      <c r="C128" s="10" t="s">
        <v>21</v>
      </c>
      <c r="D128" s="12">
        <v>3284</v>
      </c>
      <c r="E128" s="13">
        <v>125</v>
      </c>
      <c r="F128" s="12">
        <f t="shared" si="2"/>
        <v>410500</v>
      </c>
      <c r="G128" s="12">
        <v>97080</v>
      </c>
      <c r="H128" s="12">
        <f t="shared" si="3"/>
        <v>313420</v>
      </c>
      <c r="I128" s="11">
        <v>44835</v>
      </c>
      <c r="J128" s="10" t="s">
        <v>12</v>
      </c>
      <c r="K128" s="9">
        <v>2022</v>
      </c>
    </row>
    <row r="129" spans="1:11" x14ac:dyDescent="0.35">
      <c r="A129" s="14" t="s">
        <v>11</v>
      </c>
      <c r="B129" s="10" t="s">
        <v>10</v>
      </c>
      <c r="C129" s="10" t="s">
        <v>21</v>
      </c>
      <c r="D129" s="12">
        <v>1197</v>
      </c>
      <c r="E129" s="13">
        <v>125</v>
      </c>
      <c r="F129" s="12">
        <f t="shared" si="2"/>
        <v>149625</v>
      </c>
      <c r="G129" s="12">
        <v>257400</v>
      </c>
      <c r="H129" s="12">
        <f t="shared" si="3"/>
        <v>-107775</v>
      </c>
      <c r="I129" s="11">
        <v>44835</v>
      </c>
      <c r="J129" s="10" t="s">
        <v>12</v>
      </c>
      <c r="K129" s="9">
        <v>2022</v>
      </c>
    </row>
    <row r="130" spans="1:11" x14ac:dyDescent="0.35">
      <c r="A130" s="14" t="s">
        <v>16</v>
      </c>
      <c r="B130" s="10" t="s">
        <v>15</v>
      </c>
      <c r="C130" s="10" t="s">
        <v>21</v>
      </c>
      <c r="D130" s="12">
        <v>3774</v>
      </c>
      <c r="E130" s="13">
        <v>12</v>
      </c>
      <c r="F130" s="12">
        <f t="shared" ref="F130:F193" si="4">SUM(D130*E130)</f>
        <v>45288</v>
      </c>
      <c r="G130" s="12">
        <v>3165</v>
      </c>
      <c r="H130" s="12">
        <f t="shared" ref="H130:H193" si="5">F130-G130</f>
        <v>42123</v>
      </c>
      <c r="I130" s="11">
        <v>45261</v>
      </c>
      <c r="J130" s="10" t="s">
        <v>17</v>
      </c>
      <c r="K130" s="9">
        <v>2023</v>
      </c>
    </row>
    <row r="131" spans="1:11" x14ac:dyDescent="0.35">
      <c r="A131" s="14" t="s">
        <v>11</v>
      </c>
      <c r="B131" s="10" t="s">
        <v>10</v>
      </c>
      <c r="C131" s="10" t="s">
        <v>21</v>
      </c>
      <c r="D131" s="12">
        <v>2303</v>
      </c>
      <c r="E131" s="13">
        <v>20</v>
      </c>
      <c r="F131" s="12">
        <f t="shared" si="4"/>
        <v>46060</v>
      </c>
      <c r="G131" s="12">
        <v>5440</v>
      </c>
      <c r="H131" s="12">
        <f t="shared" si="5"/>
        <v>40620</v>
      </c>
      <c r="I131" s="11">
        <v>44896</v>
      </c>
      <c r="J131" s="10" t="s">
        <v>17</v>
      </c>
      <c r="K131" s="9">
        <v>2022</v>
      </c>
    </row>
    <row r="132" spans="1:11" x14ac:dyDescent="0.35">
      <c r="A132" s="14" t="s">
        <v>11</v>
      </c>
      <c r="B132" s="10" t="s">
        <v>10</v>
      </c>
      <c r="C132" s="10" t="s">
        <v>21</v>
      </c>
      <c r="D132" s="12">
        <v>2572</v>
      </c>
      <c r="E132" s="13">
        <v>12</v>
      </c>
      <c r="F132" s="12">
        <f t="shared" si="4"/>
        <v>30864</v>
      </c>
      <c r="G132" s="12">
        <v>3252</v>
      </c>
      <c r="H132" s="12">
        <f t="shared" si="5"/>
        <v>27612</v>
      </c>
      <c r="I132" s="11">
        <v>45261</v>
      </c>
      <c r="J132" s="10" t="s">
        <v>17</v>
      </c>
      <c r="K132" s="9">
        <v>2023</v>
      </c>
    </row>
    <row r="133" spans="1:11" x14ac:dyDescent="0.35">
      <c r="A133" s="14" t="s">
        <v>11</v>
      </c>
      <c r="B133" s="10" t="s">
        <v>10</v>
      </c>
      <c r="C133" s="10" t="s">
        <v>1</v>
      </c>
      <c r="D133" s="12">
        <v>320</v>
      </c>
      <c r="E133" s="13">
        <v>125</v>
      </c>
      <c r="F133" s="12">
        <f t="shared" si="4"/>
        <v>40000</v>
      </c>
      <c r="G133" s="12">
        <v>79440</v>
      </c>
      <c r="H133" s="12">
        <f t="shared" si="5"/>
        <v>-39440</v>
      </c>
      <c r="I133" s="11">
        <v>45078</v>
      </c>
      <c r="J133" s="10" t="s">
        <v>26</v>
      </c>
      <c r="K133" s="9">
        <v>2023</v>
      </c>
    </row>
    <row r="134" spans="1:11" x14ac:dyDescent="0.35">
      <c r="A134" s="14" t="s">
        <v>19</v>
      </c>
      <c r="B134" s="10" t="s">
        <v>6</v>
      </c>
      <c r="C134" s="10" t="s">
        <v>1</v>
      </c>
      <c r="D134" s="12">
        <v>2126</v>
      </c>
      <c r="E134" s="13">
        <v>300</v>
      </c>
      <c r="F134" s="12">
        <f t="shared" si="4"/>
        <v>637800</v>
      </c>
      <c r="G134" s="12">
        <v>53500</v>
      </c>
      <c r="H134" s="12">
        <f t="shared" si="5"/>
        <v>584300</v>
      </c>
      <c r="I134" s="11">
        <v>44835</v>
      </c>
      <c r="J134" s="10" t="s">
        <v>12</v>
      </c>
      <c r="K134" s="9">
        <v>2022</v>
      </c>
    </row>
    <row r="135" spans="1:11" x14ac:dyDescent="0.35">
      <c r="A135" s="14" t="s">
        <v>19</v>
      </c>
      <c r="B135" s="10" t="s">
        <v>6</v>
      </c>
      <c r="C135" s="10" t="s">
        <v>1</v>
      </c>
      <c r="D135" s="12">
        <v>3275</v>
      </c>
      <c r="E135" s="13">
        <v>350</v>
      </c>
      <c r="F135" s="12">
        <f t="shared" si="4"/>
        <v>1146250</v>
      </c>
      <c r="G135" s="12">
        <v>748020</v>
      </c>
      <c r="H135" s="12">
        <f t="shared" si="5"/>
        <v>398230</v>
      </c>
      <c r="I135" s="11">
        <v>45200</v>
      </c>
      <c r="J135" s="10" t="s">
        <v>12</v>
      </c>
      <c r="K135" s="9">
        <v>2023</v>
      </c>
    </row>
    <row r="136" spans="1:11" x14ac:dyDescent="0.35">
      <c r="A136" s="14" t="s">
        <v>7</v>
      </c>
      <c r="B136" s="10" t="s">
        <v>6</v>
      </c>
      <c r="C136" s="10" t="s">
        <v>1</v>
      </c>
      <c r="D136" s="12">
        <v>3582</v>
      </c>
      <c r="E136" s="13">
        <v>125</v>
      </c>
      <c r="F136" s="12">
        <f t="shared" si="4"/>
        <v>447750</v>
      </c>
      <c r="G136" s="12">
        <v>327480</v>
      </c>
      <c r="H136" s="12">
        <f t="shared" si="5"/>
        <v>120270</v>
      </c>
      <c r="I136" s="11">
        <v>45261</v>
      </c>
      <c r="J136" s="10" t="s">
        <v>17</v>
      </c>
      <c r="K136" s="9">
        <v>2023</v>
      </c>
    </row>
    <row r="137" spans="1:11" x14ac:dyDescent="0.35">
      <c r="A137" s="14" t="s">
        <v>3</v>
      </c>
      <c r="B137" s="10" t="s">
        <v>2</v>
      </c>
      <c r="C137" s="10" t="s">
        <v>1</v>
      </c>
      <c r="D137" s="12">
        <v>783</v>
      </c>
      <c r="E137" s="13">
        <v>350</v>
      </c>
      <c r="F137" s="12">
        <f t="shared" si="4"/>
        <v>274050</v>
      </c>
      <c r="G137" s="12">
        <v>69160</v>
      </c>
      <c r="H137" s="12">
        <f t="shared" si="5"/>
        <v>204890</v>
      </c>
      <c r="I137" s="11">
        <v>44896</v>
      </c>
      <c r="J137" s="10" t="s">
        <v>17</v>
      </c>
      <c r="K137" s="9">
        <v>2022</v>
      </c>
    </row>
    <row r="138" spans="1:11" x14ac:dyDescent="0.35">
      <c r="A138" s="14" t="s">
        <v>11</v>
      </c>
      <c r="B138" s="10" t="s">
        <v>10</v>
      </c>
      <c r="C138" s="10" t="s">
        <v>1</v>
      </c>
      <c r="D138" s="12">
        <v>1202</v>
      </c>
      <c r="E138" s="13">
        <v>350</v>
      </c>
      <c r="F138" s="12">
        <f t="shared" si="4"/>
        <v>420700</v>
      </c>
      <c r="G138" s="12">
        <v>504400</v>
      </c>
      <c r="H138" s="12">
        <f t="shared" si="5"/>
        <v>-83700</v>
      </c>
      <c r="I138" s="11">
        <v>44896</v>
      </c>
      <c r="J138" s="10" t="s">
        <v>17</v>
      </c>
      <c r="K138" s="9">
        <v>2022</v>
      </c>
    </row>
    <row r="139" spans="1:11" x14ac:dyDescent="0.35">
      <c r="A139" s="14" t="s">
        <v>19</v>
      </c>
      <c r="B139" s="10" t="s">
        <v>6</v>
      </c>
      <c r="C139" s="10" t="s">
        <v>13</v>
      </c>
      <c r="D139" s="12">
        <v>4056</v>
      </c>
      <c r="E139" s="13">
        <v>300</v>
      </c>
      <c r="F139" s="12">
        <f t="shared" si="4"/>
        <v>1216800</v>
      </c>
      <c r="G139" s="12">
        <v>64750</v>
      </c>
      <c r="H139" s="12">
        <f t="shared" si="5"/>
        <v>1152050</v>
      </c>
      <c r="I139" s="11">
        <v>44986</v>
      </c>
      <c r="J139" s="10" t="s">
        <v>14</v>
      </c>
      <c r="K139" s="9">
        <v>2023</v>
      </c>
    </row>
    <row r="140" spans="1:11" x14ac:dyDescent="0.35">
      <c r="A140" s="14" t="s">
        <v>11</v>
      </c>
      <c r="B140" s="10" t="s">
        <v>10</v>
      </c>
      <c r="C140" s="10" t="s">
        <v>13</v>
      </c>
      <c r="D140" s="12">
        <v>2144</v>
      </c>
      <c r="E140" s="13">
        <v>300</v>
      </c>
      <c r="F140" s="12">
        <f t="shared" si="4"/>
        <v>643200</v>
      </c>
      <c r="G140" s="12">
        <v>275250</v>
      </c>
      <c r="H140" s="12">
        <f t="shared" si="5"/>
        <v>367950</v>
      </c>
      <c r="I140" s="11">
        <v>44986</v>
      </c>
      <c r="J140" s="10" t="s">
        <v>14</v>
      </c>
      <c r="K140" s="9">
        <v>2023</v>
      </c>
    </row>
    <row r="141" spans="1:11" x14ac:dyDescent="0.35">
      <c r="A141" s="14" t="s">
        <v>19</v>
      </c>
      <c r="B141" s="10" t="s">
        <v>6</v>
      </c>
      <c r="C141" s="10" t="s">
        <v>13</v>
      </c>
      <c r="D141" s="12">
        <v>3502</v>
      </c>
      <c r="E141" s="13">
        <v>125</v>
      </c>
      <c r="F141" s="12">
        <f t="shared" si="4"/>
        <v>437750</v>
      </c>
      <c r="G141" s="12">
        <v>273120</v>
      </c>
      <c r="H141" s="12">
        <f t="shared" si="5"/>
        <v>164630</v>
      </c>
      <c r="I141" s="11">
        <v>45047</v>
      </c>
      <c r="J141" s="10" t="s">
        <v>0</v>
      </c>
      <c r="K141" s="9">
        <v>2023</v>
      </c>
    </row>
    <row r="142" spans="1:11" x14ac:dyDescent="0.35">
      <c r="A142" s="14" t="s">
        <v>19</v>
      </c>
      <c r="B142" s="10" t="s">
        <v>6</v>
      </c>
      <c r="C142" s="10" t="s">
        <v>13</v>
      </c>
      <c r="D142" s="12">
        <v>1397</v>
      </c>
      <c r="E142" s="13">
        <v>350</v>
      </c>
      <c r="F142" s="12">
        <f t="shared" si="4"/>
        <v>488950</v>
      </c>
      <c r="G142" s="12">
        <v>771160</v>
      </c>
      <c r="H142" s="12">
        <f t="shared" si="5"/>
        <v>-282210</v>
      </c>
      <c r="I142" s="11">
        <v>44835</v>
      </c>
      <c r="J142" s="10" t="s">
        <v>12</v>
      </c>
      <c r="K142" s="9">
        <v>2022</v>
      </c>
    </row>
    <row r="143" spans="1:11" x14ac:dyDescent="0.35">
      <c r="A143" s="14" t="s">
        <v>3</v>
      </c>
      <c r="B143" s="10" t="s">
        <v>2</v>
      </c>
      <c r="C143" s="10" t="s">
        <v>13</v>
      </c>
      <c r="D143" s="12">
        <v>679</v>
      </c>
      <c r="E143" s="13">
        <v>20</v>
      </c>
      <c r="F143" s="12">
        <f t="shared" si="4"/>
        <v>13580</v>
      </c>
      <c r="G143" s="12">
        <v>12360</v>
      </c>
      <c r="H143" s="12">
        <f t="shared" si="5"/>
        <v>1220</v>
      </c>
      <c r="I143" s="11">
        <v>45231</v>
      </c>
      <c r="J143" s="10" t="s">
        <v>18</v>
      </c>
      <c r="K143" s="9">
        <v>2023</v>
      </c>
    </row>
    <row r="144" spans="1:11" x14ac:dyDescent="0.35">
      <c r="A144" s="14" t="s">
        <v>16</v>
      </c>
      <c r="B144" s="10" t="s">
        <v>15</v>
      </c>
      <c r="C144" s="10" t="s">
        <v>13</v>
      </c>
      <c r="D144" s="12">
        <v>2351</v>
      </c>
      <c r="E144" s="13">
        <v>20</v>
      </c>
      <c r="F144" s="12">
        <f t="shared" si="4"/>
        <v>47020</v>
      </c>
      <c r="G144" s="12">
        <v>9410</v>
      </c>
      <c r="H144" s="12">
        <f t="shared" si="5"/>
        <v>37610</v>
      </c>
      <c r="I144" s="11">
        <v>45231</v>
      </c>
      <c r="J144" s="10" t="s">
        <v>18</v>
      </c>
      <c r="K144" s="9">
        <v>2023</v>
      </c>
    </row>
    <row r="145" spans="1:11" x14ac:dyDescent="0.35">
      <c r="A145" s="14" t="s">
        <v>7</v>
      </c>
      <c r="B145" s="10" t="s">
        <v>6</v>
      </c>
      <c r="C145" s="10" t="s">
        <v>13</v>
      </c>
      <c r="D145" s="12">
        <v>2043</v>
      </c>
      <c r="E145" s="13">
        <v>300</v>
      </c>
      <c r="F145" s="12">
        <f t="shared" si="4"/>
        <v>612900</v>
      </c>
      <c r="G145" s="12">
        <v>479000</v>
      </c>
      <c r="H145" s="12">
        <f t="shared" si="5"/>
        <v>133900</v>
      </c>
      <c r="I145" s="11">
        <v>45261</v>
      </c>
      <c r="J145" s="10" t="s">
        <v>17</v>
      </c>
      <c r="K145" s="9">
        <v>2023</v>
      </c>
    </row>
    <row r="146" spans="1:11" x14ac:dyDescent="0.35">
      <c r="A146" s="14" t="s">
        <v>16</v>
      </c>
      <c r="B146" s="10" t="s">
        <v>15</v>
      </c>
      <c r="C146" s="10" t="s">
        <v>24</v>
      </c>
      <c r="D146" s="12">
        <v>3565</v>
      </c>
      <c r="E146" s="13">
        <v>125</v>
      </c>
      <c r="F146" s="12">
        <f t="shared" si="4"/>
        <v>445625</v>
      </c>
      <c r="G146" s="12">
        <v>509220</v>
      </c>
      <c r="H146" s="12">
        <f t="shared" si="5"/>
        <v>-63595</v>
      </c>
      <c r="I146" s="11">
        <v>45017</v>
      </c>
      <c r="J146" s="10" t="s">
        <v>4</v>
      </c>
      <c r="K146" s="9">
        <v>2023</v>
      </c>
    </row>
    <row r="147" spans="1:11" x14ac:dyDescent="0.35">
      <c r="A147" s="14" t="s">
        <v>19</v>
      </c>
      <c r="B147" s="10" t="s">
        <v>6</v>
      </c>
      <c r="C147" s="10" t="s">
        <v>24</v>
      </c>
      <c r="D147" s="12">
        <v>1401</v>
      </c>
      <c r="E147" s="13">
        <v>20</v>
      </c>
      <c r="F147" s="12">
        <f t="shared" si="4"/>
        <v>28020</v>
      </c>
      <c r="G147" s="12">
        <v>25800</v>
      </c>
      <c r="H147" s="12">
        <f t="shared" si="5"/>
        <v>2220</v>
      </c>
      <c r="I147" s="11">
        <v>45017</v>
      </c>
      <c r="J147" s="10" t="s">
        <v>4</v>
      </c>
      <c r="K147" s="9">
        <v>2023</v>
      </c>
    </row>
    <row r="148" spans="1:11" x14ac:dyDescent="0.35">
      <c r="A148" s="14" t="s">
        <v>19</v>
      </c>
      <c r="B148" s="10" t="s">
        <v>6</v>
      </c>
      <c r="C148" s="10" t="s">
        <v>24</v>
      </c>
      <c r="D148" s="12">
        <v>2077</v>
      </c>
      <c r="E148" s="13">
        <v>300</v>
      </c>
      <c r="F148" s="12">
        <f t="shared" si="4"/>
        <v>623100</v>
      </c>
      <c r="G148" s="12">
        <v>172250</v>
      </c>
      <c r="H148" s="12">
        <f t="shared" si="5"/>
        <v>450850</v>
      </c>
      <c r="I148" s="11">
        <v>45078</v>
      </c>
      <c r="J148" s="10" t="s">
        <v>26</v>
      </c>
      <c r="K148" s="9">
        <v>2023</v>
      </c>
    </row>
    <row r="149" spans="1:11" x14ac:dyDescent="0.35">
      <c r="A149" s="14" t="s">
        <v>3</v>
      </c>
      <c r="B149" s="10" t="s">
        <v>2</v>
      </c>
      <c r="C149" s="10" t="s">
        <v>24</v>
      </c>
      <c r="D149" s="12">
        <v>3643</v>
      </c>
      <c r="E149" s="13">
        <v>12</v>
      </c>
      <c r="F149" s="12">
        <f t="shared" si="4"/>
        <v>43716</v>
      </c>
      <c r="G149" s="12">
        <v>5841</v>
      </c>
      <c r="H149" s="12">
        <f t="shared" si="5"/>
        <v>37875</v>
      </c>
      <c r="I149" s="11">
        <v>45170</v>
      </c>
      <c r="J149" s="10" t="s">
        <v>22</v>
      </c>
      <c r="K149" s="9">
        <v>2023</v>
      </c>
    </row>
    <row r="150" spans="1:11" x14ac:dyDescent="0.35">
      <c r="A150" s="14" t="s">
        <v>7</v>
      </c>
      <c r="B150" s="10" t="s">
        <v>6</v>
      </c>
      <c r="C150" s="10" t="s">
        <v>24</v>
      </c>
      <c r="D150" s="12">
        <v>1105</v>
      </c>
      <c r="E150" s="13">
        <v>12</v>
      </c>
      <c r="F150" s="12">
        <f t="shared" si="4"/>
        <v>13260</v>
      </c>
      <c r="G150" s="12">
        <v>2724</v>
      </c>
      <c r="H150" s="12">
        <f t="shared" si="5"/>
        <v>10536</v>
      </c>
      <c r="I150" s="11">
        <v>44896</v>
      </c>
      <c r="J150" s="10" t="s">
        <v>17</v>
      </c>
      <c r="K150" s="9">
        <v>2022</v>
      </c>
    </row>
    <row r="151" spans="1:11" x14ac:dyDescent="0.35">
      <c r="A151" s="14" t="s">
        <v>19</v>
      </c>
      <c r="B151" s="10" t="s">
        <v>6</v>
      </c>
      <c r="C151" s="10" t="s">
        <v>9</v>
      </c>
      <c r="D151" s="12">
        <v>2960</v>
      </c>
      <c r="E151" s="13">
        <v>7</v>
      </c>
      <c r="F151" s="12">
        <f t="shared" si="4"/>
        <v>20720</v>
      </c>
      <c r="G151" s="12">
        <v>9790</v>
      </c>
      <c r="H151" s="12">
        <f t="shared" si="5"/>
        <v>10930</v>
      </c>
      <c r="I151" s="11">
        <v>44958</v>
      </c>
      <c r="J151" s="10" t="s">
        <v>8</v>
      </c>
      <c r="K151" s="9">
        <v>2023</v>
      </c>
    </row>
    <row r="152" spans="1:11" x14ac:dyDescent="0.35">
      <c r="A152" s="14" t="s">
        <v>16</v>
      </c>
      <c r="B152" s="10" t="s">
        <v>15</v>
      </c>
      <c r="C152" s="10" t="s">
        <v>9</v>
      </c>
      <c r="D152" s="12">
        <v>1201</v>
      </c>
      <c r="E152" s="13">
        <v>12</v>
      </c>
      <c r="F152" s="12">
        <f t="shared" si="4"/>
        <v>14412</v>
      </c>
      <c r="G152" s="12">
        <v>5703</v>
      </c>
      <c r="H152" s="12">
        <f t="shared" si="5"/>
        <v>8709</v>
      </c>
      <c r="I152" s="11">
        <v>45078</v>
      </c>
      <c r="J152" s="10" t="s">
        <v>26</v>
      </c>
      <c r="K152" s="9">
        <v>2023</v>
      </c>
    </row>
    <row r="153" spans="1:11" x14ac:dyDescent="0.35">
      <c r="A153" s="14" t="s">
        <v>16</v>
      </c>
      <c r="B153" s="10" t="s">
        <v>15</v>
      </c>
      <c r="C153" s="10" t="s">
        <v>9</v>
      </c>
      <c r="D153" s="12">
        <v>2321</v>
      </c>
      <c r="E153" s="13">
        <v>7</v>
      </c>
      <c r="F153" s="12">
        <f t="shared" si="4"/>
        <v>16247</v>
      </c>
      <c r="G153" s="12">
        <v>2720</v>
      </c>
      <c r="H153" s="12">
        <f t="shared" si="5"/>
        <v>13527</v>
      </c>
      <c r="I153" s="11">
        <v>45170</v>
      </c>
      <c r="J153" s="10" t="s">
        <v>22</v>
      </c>
      <c r="K153" s="9">
        <v>2023</v>
      </c>
    </row>
    <row r="154" spans="1:11" x14ac:dyDescent="0.35">
      <c r="A154" s="14" t="s">
        <v>19</v>
      </c>
      <c r="B154" s="10" t="s">
        <v>6</v>
      </c>
      <c r="C154" s="10" t="s">
        <v>9</v>
      </c>
      <c r="D154" s="12">
        <v>3640</v>
      </c>
      <c r="E154" s="13">
        <v>350</v>
      </c>
      <c r="F154" s="12">
        <f t="shared" si="4"/>
        <v>1274000</v>
      </c>
      <c r="G154" s="12">
        <v>467220</v>
      </c>
      <c r="H154" s="12">
        <f t="shared" si="5"/>
        <v>806780</v>
      </c>
      <c r="I154" s="11">
        <v>44805</v>
      </c>
      <c r="J154" s="10" t="s">
        <v>22</v>
      </c>
      <c r="K154" s="9">
        <v>2022</v>
      </c>
    </row>
    <row r="155" spans="1:11" x14ac:dyDescent="0.35">
      <c r="A155" s="14" t="s">
        <v>16</v>
      </c>
      <c r="B155" s="10" t="s">
        <v>15</v>
      </c>
      <c r="C155" s="10" t="s">
        <v>9</v>
      </c>
      <c r="D155" s="12">
        <v>3972</v>
      </c>
      <c r="E155" s="13">
        <v>125</v>
      </c>
      <c r="F155" s="12">
        <f t="shared" si="4"/>
        <v>496500</v>
      </c>
      <c r="G155" s="12">
        <v>154440</v>
      </c>
      <c r="H155" s="12">
        <f t="shared" si="5"/>
        <v>342060</v>
      </c>
      <c r="I155" s="11">
        <v>45261</v>
      </c>
      <c r="J155" s="10" t="s">
        <v>17</v>
      </c>
      <c r="K155" s="9">
        <v>2023</v>
      </c>
    </row>
    <row r="156" spans="1:11" x14ac:dyDescent="0.35">
      <c r="A156" s="14" t="s">
        <v>19</v>
      </c>
      <c r="B156" s="10" t="s">
        <v>6</v>
      </c>
      <c r="C156" s="10" t="s">
        <v>9</v>
      </c>
      <c r="D156" s="12">
        <v>3878</v>
      </c>
      <c r="E156" s="13">
        <v>125</v>
      </c>
      <c r="F156" s="12">
        <f t="shared" si="4"/>
        <v>484750</v>
      </c>
      <c r="G156" s="12">
        <v>204720</v>
      </c>
      <c r="H156" s="12">
        <f t="shared" si="5"/>
        <v>280030</v>
      </c>
      <c r="I156" s="11">
        <v>45261</v>
      </c>
      <c r="J156" s="10" t="s">
        <v>17</v>
      </c>
      <c r="K156" s="9">
        <v>2023</v>
      </c>
    </row>
    <row r="157" spans="1:11" x14ac:dyDescent="0.35">
      <c r="A157" s="14" t="s">
        <v>16</v>
      </c>
      <c r="B157" s="10" t="s">
        <v>15</v>
      </c>
      <c r="C157" s="10" t="s">
        <v>5</v>
      </c>
      <c r="D157" s="12">
        <v>2278</v>
      </c>
      <c r="E157" s="13">
        <v>300</v>
      </c>
      <c r="F157" s="12">
        <f t="shared" si="4"/>
        <v>683400</v>
      </c>
      <c r="G157" s="12">
        <v>608625</v>
      </c>
      <c r="H157" s="12">
        <f t="shared" si="5"/>
        <v>74775</v>
      </c>
      <c r="I157" s="11">
        <v>44927</v>
      </c>
      <c r="J157" s="10" t="s">
        <v>25</v>
      </c>
      <c r="K157" s="9">
        <v>2023</v>
      </c>
    </row>
    <row r="158" spans="1:11" x14ac:dyDescent="0.35">
      <c r="A158" s="14" t="s">
        <v>7</v>
      </c>
      <c r="B158" s="10" t="s">
        <v>6</v>
      </c>
      <c r="C158" s="10" t="s">
        <v>5</v>
      </c>
      <c r="D158" s="12">
        <v>1075</v>
      </c>
      <c r="E158" s="13">
        <v>125</v>
      </c>
      <c r="F158" s="12">
        <f t="shared" si="4"/>
        <v>134375</v>
      </c>
      <c r="G158" s="12">
        <v>212880</v>
      </c>
      <c r="H158" s="12">
        <f t="shared" si="5"/>
        <v>-78505</v>
      </c>
      <c r="I158" s="11">
        <v>44986</v>
      </c>
      <c r="J158" s="10" t="s">
        <v>14</v>
      </c>
      <c r="K158" s="9">
        <v>2023</v>
      </c>
    </row>
    <row r="159" spans="1:11" x14ac:dyDescent="0.35">
      <c r="A159" s="14" t="s">
        <v>16</v>
      </c>
      <c r="B159" s="10" t="s">
        <v>15</v>
      </c>
      <c r="C159" s="10" t="s">
        <v>5</v>
      </c>
      <c r="D159" s="12">
        <v>4050</v>
      </c>
      <c r="E159" s="13">
        <v>12</v>
      </c>
      <c r="F159" s="12">
        <f t="shared" si="4"/>
        <v>48600</v>
      </c>
      <c r="G159" s="12">
        <v>5703</v>
      </c>
      <c r="H159" s="12">
        <f t="shared" si="5"/>
        <v>42897</v>
      </c>
      <c r="I159" s="11">
        <v>45078</v>
      </c>
      <c r="J159" s="10" t="s">
        <v>26</v>
      </c>
      <c r="K159" s="9">
        <v>2023</v>
      </c>
    </row>
    <row r="160" spans="1:11" x14ac:dyDescent="0.35">
      <c r="A160" s="14" t="s">
        <v>19</v>
      </c>
      <c r="B160" s="10" t="s">
        <v>6</v>
      </c>
      <c r="C160" s="10" t="s">
        <v>5</v>
      </c>
      <c r="D160" s="12">
        <v>3035</v>
      </c>
      <c r="E160" s="13">
        <v>300</v>
      </c>
      <c r="F160" s="12">
        <f t="shared" si="4"/>
        <v>910500</v>
      </c>
      <c r="G160" s="12">
        <v>172250</v>
      </c>
      <c r="H160" s="12">
        <f t="shared" si="5"/>
        <v>738250</v>
      </c>
      <c r="I160" s="11">
        <v>45078</v>
      </c>
      <c r="J160" s="10" t="s">
        <v>26</v>
      </c>
      <c r="K160" s="9">
        <v>2023</v>
      </c>
    </row>
    <row r="161" spans="1:11" x14ac:dyDescent="0.35">
      <c r="A161" s="14" t="s">
        <v>19</v>
      </c>
      <c r="B161" s="10" t="s">
        <v>6</v>
      </c>
      <c r="C161" s="10" t="s">
        <v>5</v>
      </c>
      <c r="D161" s="12">
        <v>3636</v>
      </c>
      <c r="E161" s="13">
        <v>125</v>
      </c>
      <c r="F161" s="12">
        <f t="shared" si="4"/>
        <v>454500</v>
      </c>
      <c r="G161" s="12">
        <v>188400</v>
      </c>
      <c r="H161" s="12">
        <f t="shared" si="5"/>
        <v>266100</v>
      </c>
      <c r="I161" s="11">
        <v>45078</v>
      </c>
      <c r="J161" s="10" t="s">
        <v>26</v>
      </c>
      <c r="K161" s="9">
        <v>2023</v>
      </c>
    </row>
    <row r="162" spans="1:11" x14ac:dyDescent="0.35">
      <c r="A162" s="14" t="s">
        <v>3</v>
      </c>
      <c r="B162" s="10" t="s">
        <v>2</v>
      </c>
      <c r="C162" s="10" t="s">
        <v>5</v>
      </c>
      <c r="D162" s="12">
        <v>1379</v>
      </c>
      <c r="E162" s="13">
        <v>12</v>
      </c>
      <c r="F162" s="12">
        <f t="shared" si="4"/>
        <v>16548</v>
      </c>
      <c r="G162" s="12">
        <v>4108.5</v>
      </c>
      <c r="H162" s="12">
        <f t="shared" si="5"/>
        <v>12439.5</v>
      </c>
      <c r="I162" s="11">
        <v>45108</v>
      </c>
      <c r="J162" s="10" t="s">
        <v>20</v>
      </c>
      <c r="K162" s="9">
        <v>2023</v>
      </c>
    </row>
    <row r="163" spans="1:11" x14ac:dyDescent="0.35">
      <c r="A163" s="14" t="s">
        <v>7</v>
      </c>
      <c r="B163" s="10" t="s">
        <v>6</v>
      </c>
      <c r="C163" s="10" t="s">
        <v>5</v>
      </c>
      <c r="D163" s="12">
        <v>4492</v>
      </c>
      <c r="E163" s="13">
        <v>125</v>
      </c>
      <c r="F163" s="12">
        <f t="shared" si="4"/>
        <v>561500</v>
      </c>
      <c r="G163" s="12">
        <v>241080</v>
      </c>
      <c r="H163" s="12">
        <f t="shared" si="5"/>
        <v>320420</v>
      </c>
      <c r="I163" s="11">
        <v>45200</v>
      </c>
      <c r="J163" s="10" t="s">
        <v>12</v>
      </c>
      <c r="K163" s="9">
        <v>2023</v>
      </c>
    </row>
    <row r="164" spans="1:11" x14ac:dyDescent="0.35">
      <c r="A164" s="14" t="s">
        <v>19</v>
      </c>
      <c r="B164" s="10" t="s">
        <v>6</v>
      </c>
      <c r="C164" s="10" t="s">
        <v>5</v>
      </c>
      <c r="D164" s="12">
        <v>764</v>
      </c>
      <c r="E164" s="13">
        <v>15</v>
      </c>
      <c r="F164" s="12">
        <f t="shared" si="4"/>
        <v>11460</v>
      </c>
      <c r="G164" s="12">
        <v>19450</v>
      </c>
      <c r="H164" s="12">
        <f t="shared" si="5"/>
        <v>-7990</v>
      </c>
      <c r="I164" s="11">
        <v>44835</v>
      </c>
      <c r="J164" s="10" t="s">
        <v>12</v>
      </c>
      <c r="K164" s="9">
        <v>2022</v>
      </c>
    </row>
    <row r="165" spans="1:11" x14ac:dyDescent="0.35">
      <c r="A165" s="14" t="s">
        <v>16</v>
      </c>
      <c r="B165" s="10" t="s">
        <v>15</v>
      </c>
      <c r="C165" s="10" t="s">
        <v>5</v>
      </c>
      <c r="D165" s="12">
        <v>1744</v>
      </c>
      <c r="E165" s="13">
        <v>125</v>
      </c>
      <c r="F165" s="12">
        <f t="shared" si="4"/>
        <v>218000</v>
      </c>
      <c r="G165" s="12">
        <v>154440</v>
      </c>
      <c r="H165" s="12">
        <f t="shared" si="5"/>
        <v>63560</v>
      </c>
      <c r="I165" s="11">
        <v>45261</v>
      </c>
      <c r="J165" s="10" t="s">
        <v>17</v>
      </c>
      <c r="K165" s="9">
        <v>2023</v>
      </c>
    </row>
    <row r="166" spans="1:11" x14ac:dyDescent="0.35">
      <c r="A166" s="14" t="s">
        <v>19</v>
      </c>
      <c r="B166" s="10" t="s">
        <v>6</v>
      </c>
      <c r="C166" s="10" t="s">
        <v>5</v>
      </c>
      <c r="D166" s="12">
        <v>2341</v>
      </c>
      <c r="E166" s="13">
        <v>125</v>
      </c>
      <c r="F166" s="12">
        <f t="shared" si="4"/>
        <v>292625</v>
      </c>
      <c r="G166" s="12">
        <v>204720</v>
      </c>
      <c r="H166" s="12">
        <f t="shared" si="5"/>
        <v>87905</v>
      </c>
      <c r="I166" s="11">
        <v>45261</v>
      </c>
      <c r="J166" s="10" t="s">
        <v>17</v>
      </c>
      <c r="K166" s="9">
        <v>2023</v>
      </c>
    </row>
    <row r="167" spans="1:11" x14ac:dyDescent="0.35">
      <c r="A167" s="14" t="s">
        <v>7</v>
      </c>
      <c r="B167" s="10" t="s">
        <v>6</v>
      </c>
      <c r="C167" s="10" t="s">
        <v>21</v>
      </c>
      <c r="D167" s="12">
        <v>3835</v>
      </c>
      <c r="E167" s="13">
        <v>125</v>
      </c>
      <c r="F167" s="12">
        <f t="shared" si="4"/>
        <v>479375</v>
      </c>
      <c r="G167" s="12">
        <v>241080</v>
      </c>
      <c r="H167" s="12">
        <f t="shared" si="5"/>
        <v>238295</v>
      </c>
      <c r="I167" s="11">
        <v>45200</v>
      </c>
      <c r="J167" s="10" t="s">
        <v>12</v>
      </c>
      <c r="K167" s="9">
        <v>2023</v>
      </c>
    </row>
    <row r="168" spans="1:11" x14ac:dyDescent="0.35">
      <c r="A168" s="14" t="s">
        <v>3</v>
      </c>
      <c r="B168" s="10" t="s">
        <v>2</v>
      </c>
      <c r="C168" s="10" t="s">
        <v>1</v>
      </c>
      <c r="D168" s="12">
        <v>1161</v>
      </c>
      <c r="E168" s="13">
        <v>300</v>
      </c>
      <c r="F168" s="12">
        <f t="shared" si="4"/>
        <v>348300</v>
      </c>
      <c r="G168" s="12">
        <v>711000</v>
      </c>
      <c r="H168" s="12">
        <f t="shared" si="5"/>
        <v>-362700</v>
      </c>
      <c r="I168" s="11">
        <v>44958</v>
      </c>
      <c r="J168" s="10" t="s">
        <v>8</v>
      </c>
      <c r="K168" s="9">
        <v>2023</v>
      </c>
    </row>
    <row r="169" spans="1:11" x14ac:dyDescent="0.35">
      <c r="A169" s="14" t="s">
        <v>11</v>
      </c>
      <c r="B169" s="10" t="s">
        <v>10</v>
      </c>
      <c r="C169" s="10" t="s">
        <v>1</v>
      </c>
      <c r="D169" s="12">
        <v>876</v>
      </c>
      <c r="E169" s="13">
        <v>12</v>
      </c>
      <c r="F169" s="12">
        <f t="shared" si="4"/>
        <v>10512</v>
      </c>
      <c r="G169" s="12">
        <v>5748</v>
      </c>
      <c r="H169" s="12">
        <f t="shared" si="5"/>
        <v>4764</v>
      </c>
      <c r="I169" s="11">
        <v>45017</v>
      </c>
      <c r="J169" s="10" t="s">
        <v>4</v>
      </c>
      <c r="K169" s="9">
        <v>2023</v>
      </c>
    </row>
    <row r="170" spans="1:11" x14ac:dyDescent="0.35">
      <c r="A170" s="14" t="s">
        <v>19</v>
      </c>
      <c r="B170" s="10" t="s">
        <v>6</v>
      </c>
      <c r="C170" s="10" t="s">
        <v>1</v>
      </c>
      <c r="D170" s="12">
        <v>1705</v>
      </c>
      <c r="E170" s="13">
        <v>125</v>
      </c>
      <c r="F170" s="12">
        <f t="shared" si="4"/>
        <v>213125</v>
      </c>
      <c r="G170" s="12">
        <v>188400</v>
      </c>
      <c r="H170" s="12">
        <f t="shared" si="5"/>
        <v>24725</v>
      </c>
      <c r="I170" s="11">
        <v>45078</v>
      </c>
      <c r="J170" s="10" t="s">
        <v>26</v>
      </c>
      <c r="K170" s="9">
        <v>2023</v>
      </c>
    </row>
    <row r="171" spans="1:11" x14ac:dyDescent="0.35">
      <c r="A171" s="14" t="s">
        <v>7</v>
      </c>
      <c r="B171" s="10" t="s">
        <v>6</v>
      </c>
      <c r="C171" s="10" t="s">
        <v>1</v>
      </c>
      <c r="D171" s="12">
        <v>1805</v>
      </c>
      <c r="E171" s="13">
        <v>300</v>
      </c>
      <c r="F171" s="12">
        <f t="shared" si="4"/>
        <v>541500</v>
      </c>
      <c r="G171" s="12">
        <v>468500</v>
      </c>
      <c r="H171" s="12">
        <f t="shared" si="5"/>
        <v>73000</v>
      </c>
      <c r="I171" s="11">
        <v>45139</v>
      </c>
      <c r="J171" s="10" t="s">
        <v>23</v>
      </c>
      <c r="K171" s="9">
        <v>2023</v>
      </c>
    </row>
    <row r="172" spans="1:11" x14ac:dyDescent="0.35">
      <c r="A172" s="14" t="s">
        <v>11</v>
      </c>
      <c r="B172" s="10" t="s">
        <v>10</v>
      </c>
      <c r="C172" s="10" t="s">
        <v>1</v>
      </c>
      <c r="D172" s="12">
        <v>389</v>
      </c>
      <c r="E172" s="13">
        <v>350</v>
      </c>
      <c r="F172" s="12">
        <f t="shared" si="4"/>
        <v>136150</v>
      </c>
      <c r="G172" s="12">
        <v>426920</v>
      </c>
      <c r="H172" s="12">
        <f t="shared" si="5"/>
        <v>-290770</v>
      </c>
      <c r="I172" s="11">
        <v>45139</v>
      </c>
      <c r="J172" s="10" t="s">
        <v>23</v>
      </c>
      <c r="K172" s="9">
        <v>2023</v>
      </c>
    </row>
    <row r="173" spans="1:11" x14ac:dyDescent="0.35">
      <c r="A173" s="14" t="s">
        <v>19</v>
      </c>
      <c r="B173" s="10" t="s">
        <v>6</v>
      </c>
      <c r="C173" s="10" t="s">
        <v>1</v>
      </c>
      <c r="D173" s="12">
        <v>2745</v>
      </c>
      <c r="E173" s="13">
        <v>15</v>
      </c>
      <c r="F173" s="12">
        <f t="shared" si="4"/>
        <v>41175</v>
      </c>
      <c r="G173" s="12">
        <v>19450</v>
      </c>
      <c r="H173" s="12">
        <f t="shared" si="5"/>
        <v>21725</v>
      </c>
      <c r="I173" s="11">
        <v>44835</v>
      </c>
      <c r="J173" s="10" t="s">
        <v>12</v>
      </c>
      <c r="K173" s="9">
        <v>2022</v>
      </c>
    </row>
    <row r="174" spans="1:11" x14ac:dyDescent="0.35">
      <c r="A174" s="14" t="s">
        <v>7</v>
      </c>
      <c r="B174" s="10" t="s">
        <v>6</v>
      </c>
      <c r="C174" s="10" t="s">
        <v>24</v>
      </c>
      <c r="D174" s="12">
        <v>1459</v>
      </c>
      <c r="E174" s="13">
        <v>20</v>
      </c>
      <c r="F174" s="12">
        <f t="shared" si="4"/>
        <v>29180</v>
      </c>
      <c r="G174" s="12">
        <v>8310</v>
      </c>
      <c r="H174" s="12">
        <f t="shared" si="5"/>
        <v>20870</v>
      </c>
      <c r="I174" s="11">
        <v>45047</v>
      </c>
      <c r="J174" s="10" t="s">
        <v>0</v>
      </c>
      <c r="K174" s="9">
        <v>2023</v>
      </c>
    </row>
    <row r="175" spans="1:11" x14ac:dyDescent="0.35">
      <c r="A175" s="14" t="s">
        <v>11</v>
      </c>
      <c r="B175" s="10" t="s">
        <v>10</v>
      </c>
      <c r="C175" s="10" t="s">
        <v>5</v>
      </c>
      <c r="D175" s="12">
        <v>3938</v>
      </c>
      <c r="E175" s="13">
        <v>7</v>
      </c>
      <c r="F175" s="12">
        <f t="shared" si="4"/>
        <v>27566</v>
      </c>
      <c r="G175" s="12">
        <v>8800</v>
      </c>
      <c r="H175" s="12">
        <f t="shared" si="5"/>
        <v>18766</v>
      </c>
      <c r="I175" s="11">
        <v>44805</v>
      </c>
      <c r="J175" s="10" t="s">
        <v>22</v>
      </c>
      <c r="K175" s="9">
        <v>2022</v>
      </c>
    </row>
    <row r="176" spans="1:11" x14ac:dyDescent="0.35">
      <c r="A176" s="14" t="s">
        <v>7</v>
      </c>
      <c r="B176" s="10" t="s">
        <v>6</v>
      </c>
      <c r="C176" s="10" t="s">
        <v>21</v>
      </c>
      <c r="D176" s="12">
        <v>4236</v>
      </c>
      <c r="E176" s="13">
        <v>20</v>
      </c>
      <c r="F176" s="12">
        <f t="shared" si="4"/>
        <v>84720</v>
      </c>
      <c r="G176" s="12">
        <v>38505</v>
      </c>
      <c r="H176" s="12">
        <f t="shared" si="5"/>
        <v>46215</v>
      </c>
      <c r="I176" s="11">
        <v>45017</v>
      </c>
      <c r="J176" s="10" t="s">
        <v>4</v>
      </c>
      <c r="K176" s="9">
        <v>2023</v>
      </c>
    </row>
    <row r="177" spans="1:11" x14ac:dyDescent="0.35">
      <c r="A177" s="14" t="s">
        <v>19</v>
      </c>
      <c r="B177" s="10" t="s">
        <v>6</v>
      </c>
      <c r="C177" s="10" t="s">
        <v>1</v>
      </c>
      <c r="D177" s="12">
        <v>3627</v>
      </c>
      <c r="E177" s="13">
        <v>12</v>
      </c>
      <c r="F177" s="12">
        <f t="shared" si="4"/>
        <v>43524</v>
      </c>
      <c r="G177" s="12">
        <v>7437</v>
      </c>
      <c r="H177" s="12">
        <f t="shared" si="5"/>
        <v>36087</v>
      </c>
      <c r="I177" s="11">
        <v>44927</v>
      </c>
      <c r="J177" s="10" t="s">
        <v>25</v>
      </c>
      <c r="K177" s="9">
        <v>2023</v>
      </c>
    </row>
    <row r="178" spans="1:11" x14ac:dyDescent="0.35">
      <c r="A178" s="14" t="s">
        <v>11</v>
      </c>
      <c r="B178" s="10" t="s">
        <v>10</v>
      </c>
      <c r="C178" s="10" t="s">
        <v>9</v>
      </c>
      <c r="D178" s="12">
        <v>1756</v>
      </c>
      <c r="E178" s="13">
        <v>15</v>
      </c>
      <c r="F178" s="12">
        <f t="shared" si="4"/>
        <v>26340</v>
      </c>
      <c r="G178" s="12">
        <v>20310</v>
      </c>
      <c r="H178" s="12">
        <f t="shared" si="5"/>
        <v>6030</v>
      </c>
      <c r="I178" s="11">
        <v>45200</v>
      </c>
      <c r="J178" s="10" t="s">
        <v>12</v>
      </c>
      <c r="K178" s="9">
        <v>2023</v>
      </c>
    </row>
    <row r="179" spans="1:11" x14ac:dyDescent="0.35">
      <c r="A179" s="14" t="s">
        <v>11</v>
      </c>
      <c r="B179" s="10" t="s">
        <v>10</v>
      </c>
      <c r="C179" s="10" t="s">
        <v>5</v>
      </c>
      <c r="D179" s="12">
        <v>307</v>
      </c>
      <c r="E179" s="13">
        <v>15</v>
      </c>
      <c r="F179" s="12">
        <f t="shared" si="4"/>
        <v>4605</v>
      </c>
      <c r="G179" s="12">
        <v>20310</v>
      </c>
      <c r="H179" s="12">
        <f t="shared" si="5"/>
        <v>-15705</v>
      </c>
      <c r="I179" s="11">
        <v>45200</v>
      </c>
      <c r="J179" s="10" t="s">
        <v>12</v>
      </c>
      <c r="K179" s="9">
        <v>2023</v>
      </c>
    </row>
    <row r="180" spans="1:11" x14ac:dyDescent="0.35">
      <c r="A180" s="14" t="s">
        <v>16</v>
      </c>
      <c r="B180" s="10" t="s">
        <v>15</v>
      </c>
      <c r="C180" s="10" t="s">
        <v>5</v>
      </c>
      <c r="D180" s="12">
        <v>4489</v>
      </c>
      <c r="E180" s="13">
        <v>15</v>
      </c>
      <c r="F180" s="12">
        <f t="shared" si="4"/>
        <v>67335</v>
      </c>
      <c r="G180" s="12">
        <v>22610</v>
      </c>
      <c r="H180" s="12">
        <f t="shared" si="5"/>
        <v>44725</v>
      </c>
      <c r="I180" s="11">
        <v>44896</v>
      </c>
      <c r="J180" s="10" t="s">
        <v>17</v>
      </c>
      <c r="K180" s="9">
        <v>2022</v>
      </c>
    </row>
    <row r="181" spans="1:11" x14ac:dyDescent="0.35">
      <c r="A181" s="14" t="s">
        <v>3</v>
      </c>
      <c r="B181" s="10" t="s">
        <v>2</v>
      </c>
      <c r="C181" s="10" t="s">
        <v>21</v>
      </c>
      <c r="D181" s="12">
        <v>2167</v>
      </c>
      <c r="E181" s="13">
        <v>20</v>
      </c>
      <c r="F181" s="12">
        <f t="shared" si="4"/>
        <v>43340</v>
      </c>
      <c r="G181" s="12">
        <v>7360</v>
      </c>
      <c r="H181" s="12">
        <f t="shared" si="5"/>
        <v>35980</v>
      </c>
      <c r="I181" s="11">
        <v>44805</v>
      </c>
      <c r="J181" s="10" t="s">
        <v>22</v>
      </c>
      <c r="K181" s="9">
        <v>2022</v>
      </c>
    </row>
    <row r="182" spans="1:11" x14ac:dyDescent="0.35">
      <c r="A182" s="14" t="s">
        <v>7</v>
      </c>
      <c r="B182" s="10" t="s">
        <v>6</v>
      </c>
      <c r="C182" s="10" t="s">
        <v>24</v>
      </c>
      <c r="D182" s="12">
        <v>1137</v>
      </c>
      <c r="E182" s="13">
        <v>7</v>
      </c>
      <c r="F182" s="12">
        <f t="shared" si="4"/>
        <v>7959</v>
      </c>
      <c r="G182" s="12">
        <v>14255</v>
      </c>
      <c r="H182" s="12">
        <f t="shared" si="5"/>
        <v>-6296</v>
      </c>
      <c r="I182" s="11">
        <v>44835</v>
      </c>
      <c r="J182" s="10" t="s">
        <v>12</v>
      </c>
      <c r="K182" s="9">
        <v>2022</v>
      </c>
    </row>
    <row r="183" spans="1:11" x14ac:dyDescent="0.35">
      <c r="A183" s="14" t="s">
        <v>19</v>
      </c>
      <c r="B183" s="10" t="s">
        <v>6</v>
      </c>
      <c r="C183" s="10" t="s">
        <v>24</v>
      </c>
      <c r="D183" s="12">
        <v>1222</v>
      </c>
      <c r="E183" s="13">
        <v>300</v>
      </c>
      <c r="F183" s="12">
        <f t="shared" si="4"/>
        <v>366600</v>
      </c>
      <c r="G183" s="12">
        <v>505250</v>
      </c>
      <c r="H183" s="12">
        <f t="shared" si="5"/>
        <v>-138650</v>
      </c>
      <c r="I183" s="11">
        <v>45200</v>
      </c>
      <c r="J183" s="10" t="s">
        <v>12</v>
      </c>
      <c r="K183" s="9">
        <v>2023</v>
      </c>
    </row>
    <row r="184" spans="1:11" x14ac:dyDescent="0.35">
      <c r="A184" s="14" t="s">
        <v>3</v>
      </c>
      <c r="B184" s="10" t="s">
        <v>2</v>
      </c>
      <c r="C184" s="10" t="s">
        <v>24</v>
      </c>
      <c r="D184" s="12">
        <v>489</v>
      </c>
      <c r="E184" s="13">
        <v>350</v>
      </c>
      <c r="F184" s="12">
        <f t="shared" si="4"/>
        <v>171150</v>
      </c>
      <c r="G184" s="12">
        <v>71240</v>
      </c>
      <c r="H184" s="12">
        <f t="shared" si="5"/>
        <v>99910</v>
      </c>
      <c r="I184" s="11">
        <v>45261</v>
      </c>
      <c r="J184" s="10" t="s">
        <v>17</v>
      </c>
      <c r="K184" s="9">
        <v>2023</v>
      </c>
    </row>
    <row r="185" spans="1:11" x14ac:dyDescent="0.35">
      <c r="A185" s="14" t="s">
        <v>7</v>
      </c>
      <c r="B185" s="10" t="s">
        <v>6</v>
      </c>
      <c r="C185" s="10" t="s">
        <v>9</v>
      </c>
      <c r="D185" s="12">
        <v>4133</v>
      </c>
      <c r="E185" s="13">
        <v>15</v>
      </c>
      <c r="F185" s="12">
        <f t="shared" si="4"/>
        <v>61995</v>
      </c>
      <c r="G185" s="12">
        <v>19670</v>
      </c>
      <c r="H185" s="12">
        <f t="shared" si="5"/>
        <v>42325</v>
      </c>
      <c r="I185" s="11">
        <v>44986</v>
      </c>
      <c r="J185" s="10" t="s">
        <v>14</v>
      </c>
      <c r="K185" s="9">
        <v>2023</v>
      </c>
    </row>
    <row r="186" spans="1:11" x14ac:dyDescent="0.35">
      <c r="A186" s="14" t="s">
        <v>19</v>
      </c>
      <c r="B186" s="10" t="s">
        <v>6</v>
      </c>
      <c r="C186" s="10" t="s">
        <v>9</v>
      </c>
      <c r="D186" s="12">
        <v>2743</v>
      </c>
      <c r="E186" s="13">
        <v>300</v>
      </c>
      <c r="F186" s="12">
        <f t="shared" si="4"/>
        <v>822900</v>
      </c>
      <c r="G186" s="12">
        <v>464750</v>
      </c>
      <c r="H186" s="12">
        <f t="shared" si="5"/>
        <v>358150</v>
      </c>
      <c r="I186" s="11">
        <v>45139</v>
      </c>
      <c r="J186" s="10" t="s">
        <v>23</v>
      </c>
      <c r="K186" s="9">
        <v>2023</v>
      </c>
    </row>
    <row r="187" spans="1:11" x14ac:dyDescent="0.35">
      <c r="A187" s="14" t="s">
        <v>7</v>
      </c>
      <c r="B187" s="10" t="s">
        <v>6</v>
      </c>
      <c r="C187" s="10" t="s">
        <v>9</v>
      </c>
      <c r="D187" s="12">
        <v>3699</v>
      </c>
      <c r="E187" s="13">
        <v>7</v>
      </c>
      <c r="F187" s="12">
        <f t="shared" si="4"/>
        <v>25893</v>
      </c>
      <c r="G187" s="12">
        <v>14255</v>
      </c>
      <c r="H187" s="12">
        <f t="shared" si="5"/>
        <v>11638</v>
      </c>
      <c r="I187" s="11">
        <v>44835</v>
      </c>
      <c r="J187" s="10" t="s">
        <v>12</v>
      </c>
      <c r="K187" s="9">
        <v>2022</v>
      </c>
    </row>
    <row r="188" spans="1:11" x14ac:dyDescent="0.35">
      <c r="A188" s="14" t="s">
        <v>19</v>
      </c>
      <c r="B188" s="10" t="s">
        <v>6</v>
      </c>
      <c r="C188" s="10" t="s">
        <v>9</v>
      </c>
      <c r="D188" s="12">
        <v>4460</v>
      </c>
      <c r="E188" s="13">
        <v>300</v>
      </c>
      <c r="F188" s="12">
        <f t="shared" si="4"/>
        <v>1338000</v>
      </c>
      <c r="G188" s="12">
        <v>505250</v>
      </c>
      <c r="H188" s="12">
        <f t="shared" si="5"/>
        <v>832750</v>
      </c>
      <c r="I188" s="11">
        <v>45200</v>
      </c>
      <c r="J188" s="10" t="s">
        <v>12</v>
      </c>
      <c r="K188" s="9">
        <v>2023</v>
      </c>
    </row>
    <row r="189" spans="1:11" x14ac:dyDescent="0.35">
      <c r="A189" s="14" t="s">
        <v>11</v>
      </c>
      <c r="B189" s="10" t="s">
        <v>10</v>
      </c>
      <c r="C189" s="10" t="s">
        <v>9</v>
      </c>
      <c r="D189" s="12">
        <v>1232</v>
      </c>
      <c r="E189" s="13">
        <v>125</v>
      </c>
      <c r="F189" s="12">
        <f t="shared" si="4"/>
        <v>154000</v>
      </c>
      <c r="G189" s="12">
        <v>136560</v>
      </c>
      <c r="H189" s="12">
        <f t="shared" si="5"/>
        <v>17440</v>
      </c>
      <c r="I189" s="11">
        <v>45261</v>
      </c>
      <c r="J189" s="10" t="s">
        <v>17</v>
      </c>
      <c r="K189" s="9">
        <v>2023</v>
      </c>
    </row>
    <row r="190" spans="1:11" x14ac:dyDescent="0.35">
      <c r="A190" s="14" t="s">
        <v>7</v>
      </c>
      <c r="B190" s="10" t="s">
        <v>6</v>
      </c>
      <c r="C190" s="10" t="s">
        <v>5</v>
      </c>
      <c r="D190" s="12">
        <v>2586</v>
      </c>
      <c r="E190" s="13">
        <v>7</v>
      </c>
      <c r="F190" s="12">
        <f t="shared" si="4"/>
        <v>18102</v>
      </c>
      <c r="G190" s="12">
        <v>21255</v>
      </c>
      <c r="H190" s="12">
        <f t="shared" si="5"/>
        <v>-3153</v>
      </c>
      <c r="I190" s="11">
        <v>44927</v>
      </c>
      <c r="J190" s="10" t="s">
        <v>25</v>
      </c>
      <c r="K190" s="9">
        <v>2023</v>
      </c>
    </row>
    <row r="191" spans="1:11" x14ac:dyDescent="0.35">
      <c r="A191" s="14" t="s">
        <v>19</v>
      </c>
      <c r="B191" s="10" t="s">
        <v>6</v>
      </c>
      <c r="C191" s="10" t="s">
        <v>5</v>
      </c>
      <c r="D191" s="12">
        <v>1332</v>
      </c>
      <c r="E191" s="13">
        <v>125</v>
      </c>
      <c r="F191" s="12">
        <f t="shared" si="4"/>
        <v>166500</v>
      </c>
      <c r="G191" s="12">
        <v>95400</v>
      </c>
      <c r="H191" s="12">
        <f t="shared" si="5"/>
        <v>71100</v>
      </c>
      <c r="I191" s="11">
        <v>44986</v>
      </c>
      <c r="J191" s="10" t="s">
        <v>14</v>
      </c>
      <c r="K191" s="9">
        <v>2023</v>
      </c>
    </row>
    <row r="192" spans="1:11" x14ac:dyDescent="0.35">
      <c r="A192" s="14" t="s">
        <v>19</v>
      </c>
      <c r="B192" s="10" t="s">
        <v>6</v>
      </c>
      <c r="C192" s="10" t="s">
        <v>5</v>
      </c>
      <c r="D192" s="12">
        <v>4487</v>
      </c>
      <c r="E192" s="13">
        <v>300</v>
      </c>
      <c r="F192" s="12">
        <f t="shared" si="4"/>
        <v>1346100</v>
      </c>
      <c r="G192" s="12">
        <v>353625</v>
      </c>
      <c r="H192" s="12">
        <f t="shared" si="5"/>
        <v>992475</v>
      </c>
      <c r="I192" s="11">
        <v>45017</v>
      </c>
      <c r="J192" s="10" t="s">
        <v>4</v>
      </c>
      <c r="K192" s="9">
        <v>2023</v>
      </c>
    </row>
    <row r="193" spans="1:11" x14ac:dyDescent="0.35">
      <c r="A193" s="14" t="s">
        <v>3</v>
      </c>
      <c r="B193" s="10" t="s">
        <v>2</v>
      </c>
      <c r="C193" s="10" t="s">
        <v>5</v>
      </c>
      <c r="D193" s="12">
        <v>3862</v>
      </c>
      <c r="E193" s="13">
        <v>300</v>
      </c>
      <c r="F193" s="12">
        <f t="shared" si="4"/>
        <v>1158600</v>
      </c>
      <c r="G193" s="12">
        <v>729500</v>
      </c>
      <c r="H193" s="12">
        <f t="shared" si="5"/>
        <v>429100</v>
      </c>
      <c r="I193" s="11">
        <v>45047</v>
      </c>
      <c r="J193" s="10" t="s">
        <v>0</v>
      </c>
      <c r="K193" s="9">
        <v>2023</v>
      </c>
    </row>
    <row r="194" spans="1:11" x14ac:dyDescent="0.35">
      <c r="A194" s="14" t="s">
        <v>3</v>
      </c>
      <c r="B194" s="10" t="s">
        <v>2</v>
      </c>
      <c r="C194" s="10" t="s">
        <v>5</v>
      </c>
      <c r="D194" s="12">
        <v>1765</v>
      </c>
      <c r="E194" s="13">
        <v>350</v>
      </c>
      <c r="F194" s="12">
        <f t="shared" ref="F194:F257" si="6">SUM(D194*E194)</f>
        <v>617750</v>
      </c>
      <c r="G194" s="12">
        <v>897000</v>
      </c>
      <c r="H194" s="12">
        <f t="shared" ref="H194:H257" si="7">F194-G194</f>
        <v>-279250</v>
      </c>
      <c r="I194" s="11">
        <v>45108</v>
      </c>
      <c r="J194" s="10" t="s">
        <v>20</v>
      </c>
      <c r="K194" s="9">
        <v>2023</v>
      </c>
    </row>
    <row r="195" spans="1:11" x14ac:dyDescent="0.35">
      <c r="A195" s="14" t="s">
        <v>16</v>
      </c>
      <c r="B195" s="10" t="s">
        <v>15</v>
      </c>
      <c r="C195" s="10" t="s">
        <v>5</v>
      </c>
      <c r="D195" s="12">
        <v>3533</v>
      </c>
      <c r="E195" s="13">
        <v>125</v>
      </c>
      <c r="F195" s="12">
        <f t="shared" si="6"/>
        <v>441625</v>
      </c>
      <c r="G195" s="12">
        <v>358560</v>
      </c>
      <c r="H195" s="12">
        <f t="shared" si="7"/>
        <v>83065</v>
      </c>
      <c r="I195" s="11">
        <v>45108</v>
      </c>
      <c r="J195" s="10" t="s">
        <v>20</v>
      </c>
      <c r="K195" s="9">
        <v>2023</v>
      </c>
    </row>
    <row r="196" spans="1:11" x14ac:dyDescent="0.35">
      <c r="A196" s="14" t="s">
        <v>7</v>
      </c>
      <c r="B196" s="10" t="s">
        <v>6</v>
      </c>
      <c r="C196" s="10" t="s">
        <v>5</v>
      </c>
      <c r="D196" s="12">
        <v>2016</v>
      </c>
      <c r="E196" s="13">
        <v>15</v>
      </c>
      <c r="F196" s="12">
        <f t="shared" si="6"/>
        <v>30240</v>
      </c>
      <c r="G196" s="12">
        <v>2180</v>
      </c>
      <c r="H196" s="12">
        <f t="shared" si="7"/>
        <v>28060</v>
      </c>
      <c r="I196" s="11">
        <v>45170</v>
      </c>
      <c r="J196" s="10" t="s">
        <v>22</v>
      </c>
      <c r="K196" s="9">
        <v>2023</v>
      </c>
    </row>
    <row r="197" spans="1:11" x14ac:dyDescent="0.35">
      <c r="A197" s="14" t="s">
        <v>7</v>
      </c>
      <c r="B197" s="10" t="s">
        <v>6</v>
      </c>
      <c r="C197" s="10" t="s">
        <v>5</v>
      </c>
      <c r="D197" s="12">
        <v>2938</v>
      </c>
      <c r="E197" s="13">
        <v>20</v>
      </c>
      <c r="F197" s="12">
        <f t="shared" si="6"/>
        <v>58760</v>
      </c>
      <c r="G197" s="12">
        <v>20740</v>
      </c>
      <c r="H197" s="12">
        <f t="shared" si="7"/>
        <v>38020</v>
      </c>
      <c r="I197" s="11">
        <v>45170</v>
      </c>
      <c r="J197" s="10" t="s">
        <v>22</v>
      </c>
      <c r="K197" s="9">
        <v>2023</v>
      </c>
    </row>
    <row r="198" spans="1:11" x14ac:dyDescent="0.35">
      <c r="A198" s="14" t="s">
        <v>3</v>
      </c>
      <c r="B198" s="10" t="s">
        <v>2</v>
      </c>
      <c r="C198" s="10" t="s">
        <v>5</v>
      </c>
      <c r="D198" s="12">
        <v>3352</v>
      </c>
      <c r="E198" s="13">
        <v>20</v>
      </c>
      <c r="F198" s="12">
        <f t="shared" si="6"/>
        <v>67040</v>
      </c>
      <c r="G198" s="12">
        <v>10560</v>
      </c>
      <c r="H198" s="12">
        <f t="shared" si="7"/>
        <v>56480</v>
      </c>
      <c r="I198" s="11">
        <v>45170</v>
      </c>
      <c r="J198" s="10" t="s">
        <v>22</v>
      </c>
      <c r="K198" s="9">
        <v>2023</v>
      </c>
    </row>
    <row r="199" spans="1:11" x14ac:dyDescent="0.35">
      <c r="A199" s="14" t="s">
        <v>3</v>
      </c>
      <c r="B199" s="10" t="s">
        <v>2</v>
      </c>
      <c r="C199" s="10" t="s">
        <v>5</v>
      </c>
      <c r="D199" s="12">
        <v>4409</v>
      </c>
      <c r="E199" s="13">
        <v>15</v>
      </c>
      <c r="F199" s="12">
        <f t="shared" si="6"/>
        <v>66135</v>
      </c>
      <c r="G199" s="12">
        <v>6710</v>
      </c>
      <c r="H199" s="12">
        <f t="shared" si="7"/>
        <v>59425</v>
      </c>
      <c r="I199" s="11">
        <v>44835</v>
      </c>
      <c r="J199" s="10" t="s">
        <v>12</v>
      </c>
      <c r="K199" s="9">
        <v>2022</v>
      </c>
    </row>
    <row r="200" spans="1:11" x14ac:dyDescent="0.35">
      <c r="A200" s="14" t="s">
        <v>11</v>
      </c>
      <c r="B200" s="10" t="s">
        <v>10</v>
      </c>
      <c r="C200" s="10" t="s">
        <v>5</v>
      </c>
      <c r="D200" s="12">
        <v>3323</v>
      </c>
      <c r="E200" s="13">
        <v>15</v>
      </c>
      <c r="F200" s="12">
        <f t="shared" si="6"/>
        <v>49845</v>
      </c>
      <c r="G200" s="12">
        <v>15140</v>
      </c>
      <c r="H200" s="12">
        <f t="shared" si="7"/>
        <v>34705</v>
      </c>
      <c r="I200" s="11">
        <v>44835</v>
      </c>
      <c r="J200" s="10" t="s">
        <v>12</v>
      </c>
      <c r="K200" s="9">
        <v>2022</v>
      </c>
    </row>
    <row r="201" spans="1:11" x14ac:dyDescent="0.35">
      <c r="A201" s="14" t="s">
        <v>3</v>
      </c>
      <c r="B201" s="10" t="s">
        <v>2</v>
      </c>
      <c r="C201" s="10" t="s">
        <v>5</v>
      </c>
      <c r="D201" s="12">
        <v>2430</v>
      </c>
      <c r="E201" s="13">
        <v>350</v>
      </c>
      <c r="F201" s="12">
        <f t="shared" si="6"/>
        <v>850500</v>
      </c>
      <c r="G201" s="12">
        <v>71240</v>
      </c>
      <c r="H201" s="12">
        <f t="shared" si="7"/>
        <v>779260</v>
      </c>
      <c r="I201" s="11">
        <v>45261</v>
      </c>
      <c r="J201" s="10" t="s">
        <v>17</v>
      </c>
      <c r="K201" s="9">
        <v>2023</v>
      </c>
    </row>
    <row r="202" spans="1:11" x14ac:dyDescent="0.35">
      <c r="A202" s="14" t="s">
        <v>11</v>
      </c>
      <c r="B202" s="10" t="s">
        <v>10</v>
      </c>
      <c r="C202" s="10" t="s">
        <v>5</v>
      </c>
      <c r="D202" s="12">
        <v>535</v>
      </c>
      <c r="E202" s="13">
        <v>125</v>
      </c>
      <c r="F202" s="12">
        <f t="shared" si="6"/>
        <v>66875</v>
      </c>
      <c r="G202" s="12">
        <v>136560</v>
      </c>
      <c r="H202" s="12">
        <f t="shared" si="7"/>
        <v>-69685</v>
      </c>
      <c r="I202" s="11">
        <v>45261</v>
      </c>
      <c r="J202" s="10" t="s">
        <v>17</v>
      </c>
      <c r="K202" s="9">
        <v>2023</v>
      </c>
    </row>
    <row r="203" spans="1:11" x14ac:dyDescent="0.35">
      <c r="A203" s="14" t="s">
        <v>3</v>
      </c>
      <c r="B203" s="10" t="s">
        <v>2</v>
      </c>
      <c r="C203" s="10" t="s">
        <v>21</v>
      </c>
      <c r="D203" s="12">
        <v>1523</v>
      </c>
      <c r="E203" s="13">
        <v>12</v>
      </c>
      <c r="F203" s="12">
        <f t="shared" si="6"/>
        <v>18276</v>
      </c>
      <c r="G203" s="12">
        <v>4395</v>
      </c>
      <c r="H203" s="12">
        <f t="shared" si="7"/>
        <v>13881</v>
      </c>
      <c r="I203" s="11">
        <v>44986</v>
      </c>
      <c r="J203" s="10" t="s">
        <v>14</v>
      </c>
      <c r="K203" s="9">
        <v>2023</v>
      </c>
    </row>
    <row r="204" spans="1:11" x14ac:dyDescent="0.35">
      <c r="A204" s="14" t="s">
        <v>7</v>
      </c>
      <c r="B204" s="10" t="s">
        <v>6</v>
      </c>
      <c r="C204" s="10" t="s">
        <v>21</v>
      </c>
      <c r="D204" s="12">
        <v>3631</v>
      </c>
      <c r="E204" s="13">
        <v>20</v>
      </c>
      <c r="F204" s="12">
        <f t="shared" si="6"/>
        <v>72620</v>
      </c>
      <c r="G204" s="12">
        <v>26460</v>
      </c>
      <c r="H204" s="12">
        <f t="shared" si="7"/>
        <v>46160</v>
      </c>
      <c r="I204" s="11">
        <v>44805</v>
      </c>
      <c r="J204" s="10" t="s">
        <v>22</v>
      </c>
      <c r="K204" s="9">
        <v>2022</v>
      </c>
    </row>
    <row r="205" spans="1:11" x14ac:dyDescent="0.35">
      <c r="A205" s="14" t="s">
        <v>16</v>
      </c>
      <c r="B205" s="10" t="s">
        <v>15</v>
      </c>
      <c r="C205" s="10" t="s">
        <v>21</v>
      </c>
      <c r="D205" s="12">
        <v>1782</v>
      </c>
      <c r="E205" s="13">
        <v>350</v>
      </c>
      <c r="F205" s="12">
        <f t="shared" si="6"/>
        <v>623700</v>
      </c>
      <c r="G205" s="12">
        <v>566020</v>
      </c>
      <c r="H205" s="12">
        <f t="shared" si="7"/>
        <v>57680</v>
      </c>
      <c r="I205" s="11">
        <v>45200</v>
      </c>
      <c r="J205" s="10" t="s">
        <v>12</v>
      </c>
      <c r="K205" s="9">
        <v>2023</v>
      </c>
    </row>
    <row r="206" spans="1:11" x14ac:dyDescent="0.35">
      <c r="A206" s="14" t="s">
        <v>16</v>
      </c>
      <c r="B206" s="10" t="s">
        <v>15</v>
      </c>
      <c r="C206" s="10" t="s">
        <v>1</v>
      </c>
      <c r="D206" s="12">
        <v>347</v>
      </c>
      <c r="E206" s="13">
        <v>12</v>
      </c>
      <c r="F206" s="12">
        <f t="shared" si="6"/>
        <v>4164</v>
      </c>
      <c r="G206" s="12">
        <v>2598</v>
      </c>
      <c r="H206" s="12">
        <f t="shared" si="7"/>
        <v>1566</v>
      </c>
      <c r="I206" s="11">
        <v>45047</v>
      </c>
      <c r="J206" s="10" t="s">
        <v>0</v>
      </c>
      <c r="K206" s="9">
        <v>2023</v>
      </c>
    </row>
    <row r="207" spans="1:11" x14ac:dyDescent="0.35">
      <c r="A207" s="14" t="s">
        <v>3</v>
      </c>
      <c r="B207" s="10" t="s">
        <v>2</v>
      </c>
      <c r="C207" s="10" t="s">
        <v>1</v>
      </c>
      <c r="D207" s="12">
        <v>4147</v>
      </c>
      <c r="E207" s="13">
        <v>350</v>
      </c>
      <c r="F207" s="12">
        <f t="shared" si="6"/>
        <v>1451450</v>
      </c>
      <c r="G207" s="12">
        <v>90740</v>
      </c>
      <c r="H207" s="12">
        <f t="shared" si="7"/>
        <v>1360710</v>
      </c>
      <c r="I207" s="11">
        <v>44805</v>
      </c>
      <c r="J207" s="10" t="s">
        <v>22</v>
      </c>
      <c r="K207" s="9">
        <v>2022</v>
      </c>
    </row>
    <row r="208" spans="1:11" x14ac:dyDescent="0.35">
      <c r="A208" s="14" t="s">
        <v>16</v>
      </c>
      <c r="B208" s="10" t="s">
        <v>15</v>
      </c>
      <c r="C208" s="10" t="s">
        <v>1</v>
      </c>
      <c r="D208" s="12">
        <v>3509</v>
      </c>
      <c r="E208" s="13">
        <v>350</v>
      </c>
      <c r="F208" s="12">
        <f t="shared" si="6"/>
        <v>1228150</v>
      </c>
      <c r="G208" s="12">
        <v>566020</v>
      </c>
      <c r="H208" s="12">
        <f t="shared" si="7"/>
        <v>662130</v>
      </c>
      <c r="I208" s="11">
        <v>45200</v>
      </c>
      <c r="J208" s="10" t="s">
        <v>12</v>
      </c>
      <c r="K208" s="9">
        <v>2023</v>
      </c>
    </row>
    <row r="209" spans="1:11" x14ac:dyDescent="0.35">
      <c r="A209" s="14" t="s">
        <v>11</v>
      </c>
      <c r="B209" s="10" t="s">
        <v>10</v>
      </c>
      <c r="C209" s="10" t="s">
        <v>1</v>
      </c>
      <c r="D209" s="12">
        <v>2774</v>
      </c>
      <c r="E209" s="13">
        <v>15</v>
      </c>
      <c r="F209" s="12">
        <f t="shared" si="6"/>
        <v>41610</v>
      </c>
      <c r="G209" s="12">
        <v>15140</v>
      </c>
      <c r="H209" s="12">
        <f t="shared" si="7"/>
        <v>26470</v>
      </c>
      <c r="I209" s="11">
        <v>44835</v>
      </c>
      <c r="J209" s="10" t="s">
        <v>12</v>
      </c>
      <c r="K209" s="9">
        <v>2022</v>
      </c>
    </row>
    <row r="210" spans="1:11" x14ac:dyDescent="0.35">
      <c r="A210" s="14" t="s">
        <v>11</v>
      </c>
      <c r="B210" s="10" t="s">
        <v>10</v>
      </c>
      <c r="C210" s="10" t="s">
        <v>13</v>
      </c>
      <c r="D210" s="12">
        <v>2943</v>
      </c>
      <c r="E210" s="13">
        <v>350</v>
      </c>
      <c r="F210" s="12">
        <f t="shared" si="6"/>
        <v>1030050</v>
      </c>
      <c r="G210" s="12">
        <v>484900</v>
      </c>
      <c r="H210" s="12">
        <f t="shared" si="7"/>
        <v>545150</v>
      </c>
      <c r="I210" s="11">
        <v>44958</v>
      </c>
      <c r="J210" s="10" t="s">
        <v>8</v>
      </c>
      <c r="K210" s="9">
        <v>2023</v>
      </c>
    </row>
    <row r="211" spans="1:11" x14ac:dyDescent="0.35">
      <c r="A211" s="14" t="s">
        <v>11</v>
      </c>
      <c r="B211" s="10" t="s">
        <v>10</v>
      </c>
      <c r="C211" s="10" t="s">
        <v>13</v>
      </c>
      <c r="D211" s="12">
        <v>4037</v>
      </c>
      <c r="E211" s="13">
        <v>125</v>
      </c>
      <c r="F211" s="12">
        <f t="shared" si="6"/>
        <v>504625</v>
      </c>
      <c r="G211" s="12">
        <v>128880</v>
      </c>
      <c r="H211" s="12">
        <f t="shared" si="7"/>
        <v>375745</v>
      </c>
      <c r="I211" s="11">
        <v>45017</v>
      </c>
      <c r="J211" s="10" t="s">
        <v>4</v>
      </c>
      <c r="K211" s="9">
        <v>2023</v>
      </c>
    </row>
    <row r="212" spans="1:11" x14ac:dyDescent="0.35">
      <c r="A212" s="14" t="s">
        <v>19</v>
      </c>
      <c r="B212" s="10" t="s">
        <v>6</v>
      </c>
      <c r="C212" s="10" t="s">
        <v>13</v>
      </c>
      <c r="D212" s="12">
        <v>4146</v>
      </c>
      <c r="E212" s="13">
        <v>350</v>
      </c>
      <c r="F212" s="12">
        <f t="shared" si="6"/>
        <v>1451100</v>
      </c>
      <c r="G212" s="12">
        <v>495820</v>
      </c>
      <c r="H212" s="12">
        <f t="shared" si="7"/>
        <v>955280</v>
      </c>
      <c r="I212" s="11">
        <v>45170</v>
      </c>
      <c r="J212" s="10" t="s">
        <v>22</v>
      </c>
      <c r="K212" s="9">
        <v>2023</v>
      </c>
    </row>
    <row r="213" spans="1:11" x14ac:dyDescent="0.35">
      <c r="A213" s="14" t="s">
        <v>3</v>
      </c>
      <c r="B213" s="10" t="s">
        <v>2</v>
      </c>
      <c r="C213" s="10" t="s">
        <v>13</v>
      </c>
      <c r="D213" s="12">
        <v>4123</v>
      </c>
      <c r="E213" s="13">
        <v>15</v>
      </c>
      <c r="F213" s="12">
        <f t="shared" si="6"/>
        <v>61845</v>
      </c>
      <c r="G213" s="12">
        <v>6710</v>
      </c>
      <c r="H213" s="12">
        <f t="shared" si="7"/>
        <v>55135</v>
      </c>
      <c r="I213" s="11">
        <v>44835</v>
      </c>
      <c r="J213" s="10" t="s">
        <v>12</v>
      </c>
      <c r="K213" s="9">
        <v>2022</v>
      </c>
    </row>
    <row r="214" spans="1:11" x14ac:dyDescent="0.35">
      <c r="A214" s="14" t="s">
        <v>7</v>
      </c>
      <c r="B214" s="10" t="s">
        <v>6</v>
      </c>
      <c r="C214" s="10" t="s">
        <v>13</v>
      </c>
      <c r="D214" s="12">
        <v>1337</v>
      </c>
      <c r="E214" s="13">
        <v>350</v>
      </c>
      <c r="F214" s="12">
        <f t="shared" si="6"/>
        <v>467950</v>
      </c>
      <c r="G214" s="12">
        <v>462280</v>
      </c>
      <c r="H214" s="12">
        <f t="shared" si="7"/>
        <v>5670</v>
      </c>
      <c r="I214" s="11">
        <v>44896</v>
      </c>
      <c r="J214" s="10" t="s">
        <v>17</v>
      </c>
      <c r="K214" s="9">
        <v>2022</v>
      </c>
    </row>
    <row r="215" spans="1:11" x14ac:dyDescent="0.35">
      <c r="A215" s="14" t="s">
        <v>19</v>
      </c>
      <c r="B215" s="10" t="s">
        <v>6</v>
      </c>
      <c r="C215" s="10" t="s">
        <v>9</v>
      </c>
      <c r="D215" s="12">
        <v>599</v>
      </c>
      <c r="E215" s="13">
        <v>7</v>
      </c>
      <c r="F215" s="12">
        <f t="shared" si="6"/>
        <v>4193</v>
      </c>
      <c r="G215" s="12">
        <v>5795</v>
      </c>
      <c r="H215" s="12">
        <f t="shared" si="7"/>
        <v>-1602</v>
      </c>
      <c r="I215" s="11">
        <v>44835</v>
      </c>
      <c r="J215" s="10" t="s">
        <v>12</v>
      </c>
      <c r="K215" s="9">
        <v>2022</v>
      </c>
    </row>
    <row r="216" spans="1:11" x14ac:dyDescent="0.35">
      <c r="A216" s="14" t="s">
        <v>19</v>
      </c>
      <c r="B216" s="10" t="s">
        <v>6</v>
      </c>
      <c r="C216" s="10" t="s">
        <v>5</v>
      </c>
      <c r="D216" s="12">
        <v>725</v>
      </c>
      <c r="E216" s="13">
        <v>7</v>
      </c>
      <c r="F216" s="12">
        <f t="shared" si="6"/>
        <v>5075</v>
      </c>
      <c r="G216" s="12">
        <v>6860</v>
      </c>
      <c r="H216" s="12">
        <f t="shared" si="7"/>
        <v>-1785</v>
      </c>
      <c r="I216" s="11">
        <v>44927</v>
      </c>
      <c r="J216" s="10" t="s">
        <v>25</v>
      </c>
      <c r="K216" s="9">
        <v>2023</v>
      </c>
    </row>
    <row r="217" spans="1:11" x14ac:dyDescent="0.35">
      <c r="A217" s="14" t="s">
        <v>7</v>
      </c>
      <c r="B217" s="10" t="s">
        <v>6</v>
      </c>
      <c r="C217" s="10" t="s">
        <v>5</v>
      </c>
      <c r="D217" s="12">
        <v>477</v>
      </c>
      <c r="E217" s="13">
        <v>7</v>
      </c>
      <c r="F217" s="12">
        <f t="shared" si="6"/>
        <v>3339</v>
      </c>
      <c r="G217" s="12">
        <v>11745</v>
      </c>
      <c r="H217" s="12">
        <f t="shared" si="7"/>
        <v>-8406</v>
      </c>
      <c r="I217" s="11">
        <v>44805</v>
      </c>
      <c r="J217" s="10" t="s">
        <v>22</v>
      </c>
      <c r="K217" s="9">
        <v>2022</v>
      </c>
    </row>
    <row r="218" spans="1:11" x14ac:dyDescent="0.35">
      <c r="A218" s="14" t="s">
        <v>11</v>
      </c>
      <c r="B218" s="10" t="s">
        <v>10</v>
      </c>
      <c r="C218" s="10" t="s">
        <v>5</v>
      </c>
      <c r="D218" s="12">
        <v>2325</v>
      </c>
      <c r="E218" s="13">
        <v>7</v>
      </c>
      <c r="F218" s="12">
        <f t="shared" si="6"/>
        <v>16275</v>
      </c>
      <c r="G218" s="12">
        <v>13445</v>
      </c>
      <c r="H218" s="12">
        <f t="shared" si="7"/>
        <v>2830</v>
      </c>
      <c r="I218" s="11">
        <v>45200</v>
      </c>
      <c r="J218" s="10" t="s">
        <v>12</v>
      </c>
      <c r="K218" s="9">
        <v>2023</v>
      </c>
    </row>
    <row r="219" spans="1:11" x14ac:dyDescent="0.35">
      <c r="A219" s="14" t="s">
        <v>7</v>
      </c>
      <c r="B219" s="10" t="s">
        <v>6</v>
      </c>
      <c r="C219" s="10" t="s">
        <v>5</v>
      </c>
      <c r="D219" s="12">
        <v>675</v>
      </c>
      <c r="E219" s="13">
        <v>12</v>
      </c>
      <c r="F219" s="12">
        <f t="shared" si="6"/>
        <v>8100</v>
      </c>
      <c r="G219" s="12">
        <v>7293</v>
      </c>
      <c r="H219" s="12">
        <f t="shared" si="7"/>
        <v>807</v>
      </c>
      <c r="I219" s="11">
        <v>45261</v>
      </c>
      <c r="J219" s="10" t="s">
        <v>17</v>
      </c>
      <c r="K219" s="9">
        <v>2023</v>
      </c>
    </row>
    <row r="220" spans="1:11" x14ac:dyDescent="0.35">
      <c r="A220" s="14" t="s">
        <v>7</v>
      </c>
      <c r="B220" s="10" t="s">
        <v>6</v>
      </c>
      <c r="C220" s="10" t="s">
        <v>21</v>
      </c>
      <c r="D220" s="12">
        <v>2990</v>
      </c>
      <c r="E220" s="13">
        <v>12</v>
      </c>
      <c r="F220" s="12">
        <f t="shared" si="6"/>
        <v>35880</v>
      </c>
      <c r="G220" s="12">
        <v>7293</v>
      </c>
      <c r="H220" s="12">
        <f t="shared" si="7"/>
        <v>28587</v>
      </c>
      <c r="I220" s="11">
        <v>45261</v>
      </c>
      <c r="J220" s="10" t="s">
        <v>17</v>
      </c>
      <c r="K220" s="9">
        <v>2023</v>
      </c>
    </row>
    <row r="221" spans="1:11" x14ac:dyDescent="0.35">
      <c r="A221" s="14" t="s">
        <v>11</v>
      </c>
      <c r="B221" s="10" t="s">
        <v>10</v>
      </c>
      <c r="C221" s="10" t="s">
        <v>1</v>
      </c>
      <c r="D221" s="12">
        <v>1072</v>
      </c>
      <c r="E221" s="13">
        <v>7</v>
      </c>
      <c r="F221" s="12">
        <f t="shared" si="6"/>
        <v>7504</v>
      </c>
      <c r="G221" s="12">
        <v>13445</v>
      </c>
      <c r="H221" s="12">
        <f t="shared" si="7"/>
        <v>-5941</v>
      </c>
      <c r="I221" s="11">
        <v>45200</v>
      </c>
      <c r="J221" s="10" t="s">
        <v>12</v>
      </c>
      <c r="K221" s="9">
        <v>2023</v>
      </c>
    </row>
    <row r="222" spans="1:11" x14ac:dyDescent="0.35">
      <c r="A222" s="14" t="s">
        <v>11</v>
      </c>
      <c r="B222" s="10" t="s">
        <v>10</v>
      </c>
      <c r="C222" s="10" t="s">
        <v>13</v>
      </c>
      <c r="D222" s="12">
        <v>1048</v>
      </c>
      <c r="E222" s="13">
        <v>7</v>
      </c>
      <c r="F222" s="12">
        <f t="shared" si="6"/>
        <v>7336</v>
      </c>
      <c r="G222" s="12">
        <v>8415</v>
      </c>
      <c r="H222" s="12">
        <f t="shared" si="7"/>
        <v>-1079</v>
      </c>
      <c r="I222" s="11">
        <v>45108</v>
      </c>
      <c r="J222" s="10" t="s">
        <v>20</v>
      </c>
      <c r="K222" s="9">
        <v>2023</v>
      </c>
    </row>
    <row r="223" spans="1:11" x14ac:dyDescent="0.35">
      <c r="A223" s="14" t="s">
        <v>11</v>
      </c>
      <c r="B223" s="10" t="s">
        <v>10</v>
      </c>
      <c r="C223" s="10" t="s">
        <v>13</v>
      </c>
      <c r="D223" s="12">
        <v>469</v>
      </c>
      <c r="E223" s="13">
        <v>12</v>
      </c>
      <c r="F223" s="12">
        <f t="shared" si="6"/>
        <v>5628</v>
      </c>
      <c r="G223" s="12">
        <v>3369</v>
      </c>
      <c r="H223" s="12">
        <f t="shared" si="7"/>
        <v>2259</v>
      </c>
      <c r="I223" s="11">
        <v>45139</v>
      </c>
      <c r="J223" s="10" t="s">
        <v>23</v>
      </c>
      <c r="K223" s="9">
        <v>2023</v>
      </c>
    </row>
    <row r="224" spans="1:11" x14ac:dyDescent="0.35">
      <c r="A224" s="14" t="s">
        <v>19</v>
      </c>
      <c r="B224" s="10" t="s">
        <v>6</v>
      </c>
      <c r="C224" s="10" t="s">
        <v>13</v>
      </c>
      <c r="D224" s="12">
        <v>804</v>
      </c>
      <c r="E224" s="13">
        <v>7</v>
      </c>
      <c r="F224" s="12">
        <f t="shared" si="6"/>
        <v>5628</v>
      </c>
      <c r="G224" s="12">
        <v>5795</v>
      </c>
      <c r="H224" s="12">
        <f t="shared" si="7"/>
        <v>-167</v>
      </c>
      <c r="I224" s="11">
        <v>44835</v>
      </c>
      <c r="J224" s="10" t="s">
        <v>12</v>
      </c>
      <c r="K224" s="9">
        <v>2022</v>
      </c>
    </row>
    <row r="225" spans="1:11" x14ac:dyDescent="0.35">
      <c r="A225" s="14" t="s">
        <v>16</v>
      </c>
      <c r="B225" s="10" t="s">
        <v>15</v>
      </c>
      <c r="C225" s="10" t="s">
        <v>24</v>
      </c>
      <c r="D225" s="12">
        <v>4240</v>
      </c>
      <c r="E225" s="13">
        <v>12</v>
      </c>
      <c r="F225" s="12">
        <f t="shared" si="6"/>
        <v>50880</v>
      </c>
      <c r="G225" s="12">
        <v>5595</v>
      </c>
      <c r="H225" s="12">
        <f t="shared" si="7"/>
        <v>45285</v>
      </c>
      <c r="I225" s="11">
        <v>44958</v>
      </c>
      <c r="J225" s="10" t="s">
        <v>8</v>
      </c>
      <c r="K225" s="9">
        <v>2023</v>
      </c>
    </row>
    <row r="226" spans="1:11" x14ac:dyDescent="0.35">
      <c r="A226" s="14" t="s">
        <v>19</v>
      </c>
      <c r="B226" s="10" t="s">
        <v>6</v>
      </c>
      <c r="C226" s="10" t="s">
        <v>24</v>
      </c>
      <c r="D226" s="12">
        <v>1976</v>
      </c>
      <c r="E226" s="13">
        <v>12</v>
      </c>
      <c r="F226" s="12">
        <f t="shared" si="6"/>
        <v>23712</v>
      </c>
      <c r="G226" s="12">
        <v>3348</v>
      </c>
      <c r="H226" s="12">
        <f t="shared" si="7"/>
        <v>20364</v>
      </c>
      <c r="I226" s="11">
        <v>44958</v>
      </c>
      <c r="J226" s="10" t="s">
        <v>8</v>
      </c>
      <c r="K226" s="9">
        <v>2023</v>
      </c>
    </row>
    <row r="227" spans="1:11" x14ac:dyDescent="0.35">
      <c r="A227" s="14" t="s">
        <v>16</v>
      </c>
      <c r="B227" s="10" t="s">
        <v>15</v>
      </c>
      <c r="C227" s="10" t="s">
        <v>24</v>
      </c>
      <c r="D227" s="12">
        <v>1984</v>
      </c>
      <c r="E227" s="13">
        <v>20</v>
      </c>
      <c r="F227" s="12">
        <f t="shared" si="6"/>
        <v>39680</v>
      </c>
      <c r="G227" s="12">
        <v>15630</v>
      </c>
      <c r="H227" s="12">
        <f t="shared" si="7"/>
        <v>24050</v>
      </c>
      <c r="I227" s="11">
        <v>45047</v>
      </c>
      <c r="J227" s="10" t="s">
        <v>0</v>
      </c>
      <c r="K227" s="9">
        <v>2023</v>
      </c>
    </row>
    <row r="228" spans="1:11" x14ac:dyDescent="0.35">
      <c r="A228" s="14" t="s">
        <v>3</v>
      </c>
      <c r="B228" s="10" t="s">
        <v>2</v>
      </c>
      <c r="C228" s="10" t="s">
        <v>24</v>
      </c>
      <c r="D228" s="12">
        <v>480</v>
      </c>
      <c r="E228" s="13">
        <v>300</v>
      </c>
      <c r="F228" s="12">
        <f t="shared" si="6"/>
        <v>144000</v>
      </c>
      <c r="G228" s="12">
        <v>247750</v>
      </c>
      <c r="H228" s="12">
        <f t="shared" si="7"/>
        <v>-103750</v>
      </c>
      <c r="I228" s="11">
        <v>45078</v>
      </c>
      <c r="J228" s="10" t="s">
        <v>26</v>
      </c>
      <c r="K228" s="9">
        <v>2023</v>
      </c>
    </row>
    <row r="229" spans="1:11" x14ac:dyDescent="0.35">
      <c r="A229" s="14" t="s">
        <v>19</v>
      </c>
      <c r="B229" s="10" t="s">
        <v>6</v>
      </c>
      <c r="C229" s="10" t="s">
        <v>24</v>
      </c>
      <c r="D229" s="12">
        <v>3551</v>
      </c>
      <c r="E229" s="13">
        <v>7</v>
      </c>
      <c r="F229" s="12">
        <f t="shared" si="6"/>
        <v>24857</v>
      </c>
      <c r="G229" s="12">
        <v>5080</v>
      </c>
      <c r="H229" s="12">
        <f t="shared" si="7"/>
        <v>19777</v>
      </c>
      <c r="I229" s="11">
        <v>44866</v>
      </c>
      <c r="J229" s="10" t="s">
        <v>18</v>
      </c>
      <c r="K229" s="9">
        <v>2022</v>
      </c>
    </row>
    <row r="230" spans="1:11" x14ac:dyDescent="0.35">
      <c r="A230" s="14" t="s">
        <v>11</v>
      </c>
      <c r="B230" s="10" t="s">
        <v>10</v>
      </c>
      <c r="C230" s="10" t="s">
        <v>24</v>
      </c>
      <c r="D230" s="12">
        <v>1205</v>
      </c>
      <c r="E230" s="13">
        <v>15</v>
      </c>
      <c r="F230" s="12">
        <f t="shared" si="6"/>
        <v>18075</v>
      </c>
      <c r="G230" s="12">
        <v>27910</v>
      </c>
      <c r="H230" s="12">
        <f t="shared" si="7"/>
        <v>-9835</v>
      </c>
      <c r="I230" s="11">
        <v>45231</v>
      </c>
      <c r="J230" s="10" t="s">
        <v>18</v>
      </c>
      <c r="K230" s="9">
        <v>2023</v>
      </c>
    </row>
    <row r="231" spans="1:11" x14ac:dyDescent="0.35">
      <c r="A231" s="14" t="s">
        <v>3</v>
      </c>
      <c r="B231" s="10" t="s">
        <v>2</v>
      </c>
      <c r="C231" s="10" t="s">
        <v>24</v>
      </c>
      <c r="D231" s="12">
        <v>2480</v>
      </c>
      <c r="E231" s="13">
        <v>7</v>
      </c>
      <c r="F231" s="12">
        <f t="shared" si="6"/>
        <v>17360</v>
      </c>
      <c r="G231" s="12">
        <v>2850</v>
      </c>
      <c r="H231" s="12">
        <f t="shared" si="7"/>
        <v>14510</v>
      </c>
      <c r="I231" s="11">
        <v>45261</v>
      </c>
      <c r="J231" s="10" t="s">
        <v>17</v>
      </c>
      <c r="K231" s="9">
        <v>2023</v>
      </c>
    </row>
    <row r="232" spans="1:11" x14ac:dyDescent="0.35">
      <c r="A232" s="14" t="s">
        <v>16</v>
      </c>
      <c r="B232" s="10" t="s">
        <v>15</v>
      </c>
      <c r="C232" s="10" t="s">
        <v>24</v>
      </c>
      <c r="D232" s="12">
        <v>2926</v>
      </c>
      <c r="E232" s="13">
        <v>7</v>
      </c>
      <c r="F232" s="12">
        <f t="shared" si="6"/>
        <v>20482</v>
      </c>
      <c r="G232" s="12">
        <v>12435</v>
      </c>
      <c r="H232" s="12">
        <f t="shared" si="7"/>
        <v>8047</v>
      </c>
      <c r="I232" s="11">
        <v>45261</v>
      </c>
      <c r="J232" s="10" t="s">
        <v>17</v>
      </c>
      <c r="K232" s="9">
        <v>2023</v>
      </c>
    </row>
    <row r="233" spans="1:11" x14ac:dyDescent="0.35">
      <c r="A233" s="14" t="s">
        <v>16</v>
      </c>
      <c r="B233" s="10" t="s">
        <v>15</v>
      </c>
      <c r="C233" s="10" t="s">
        <v>9</v>
      </c>
      <c r="D233" s="12">
        <v>3210</v>
      </c>
      <c r="E233" s="13">
        <v>350</v>
      </c>
      <c r="F233" s="12">
        <f t="shared" si="6"/>
        <v>1123500</v>
      </c>
      <c r="G233" s="12">
        <v>359970</v>
      </c>
      <c r="H233" s="12">
        <f t="shared" si="7"/>
        <v>763530</v>
      </c>
      <c r="I233" s="11">
        <v>44927</v>
      </c>
      <c r="J233" s="10" t="s">
        <v>25</v>
      </c>
      <c r="K233" s="9">
        <v>2023</v>
      </c>
    </row>
    <row r="234" spans="1:11" x14ac:dyDescent="0.35">
      <c r="A234" s="14" t="s">
        <v>3</v>
      </c>
      <c r="B234" s="10" t="s">
        <v>2</v>
      </c>
      <c r="C234" s="10" t="s">
        <v>9</v>
      </c>
      <c r="D234" s="12">
        <v>3221</v>
      </c>
      <c r="E234" s="13">
        <v>125</v>
      </c>
      <c r="F234" s="12">
        <f t="shared" si="6"/>
        <v>402625</v>
      </c>
      <c r="G234" s="12">
        <v>435240</v>
      </c>
      <c r="H234" s="12">
        <f t="shared" si="7"/>
        <v>-32615</v>
      </c>
      <c r="I234" s="11">
        <v>45108</v>
      </c>
      <c r="J234" s="10" t="s">
        <v>20</v>
      </c>
      <c r="K234" s="9">
        <v>2023</v>
      </c>
    </row>
    <row r="235" spans="1:11" x14ac:dyDescent="0.35">
      <c r="A235" s="14" t="s">
        <v>11</v>
      </c>
      <c r="B235" s="10" t="s">
        <v>10</v>
      </c>
      <c r="C235" s="10" t="s">
        <v>9</v>
      </c>
      <c r="D235" s="12">
        <v>2389</v>
      </c>
      <c r="E235" s="13">
        <v>350</v>
      </c>
      <c r="F235" s="12">
        <f t="shared" si="6"/>
        <v>836150</v>
      </c>
      <c r="G235" s="12">
        <v>187200</v>
      </c>
      <c r="H235" s="12">
        <f t="shared" si="7"/>
        <v>648950</v>
      </c>
      <c r="I235" s="11">
        <v>44805</v>
      </c>
      <c r="J235" s="10" t="s">
        <v>22</v>
      </c>
      <c r="K235" s="9">
        <v>2022</v>
      </c>
    </row>
    <row r="236" spans="1:11" x14ac:dyDescent="0.35">
      <c r="A236" s="14" t="s">
        <v>19</v>
      </c>
      <c r="B236" s="10" t="s">
        <v>6</v>
      </c>
      <c r="C236" s="10" t="s">
        <v>9</v>
      </c>
      <c r="D236" s="12">
        <v>1127</v>
      </c>
      <c r="E236" s="13">
        <v>12</v>
      </c>
      <c r="F236" s="12">
        <f t="shared" si="6"/>
        <v>13524</v>
      </c>
      <c r="G236" s="12">
        <v>7026</v>
      </c>
      <c r="H236" s="12">
        <f t="shared" si="7"/>
        <v>6498</v>
      </c>
      <c r="I236" s="11">
        <v>45231</v>
      </c>
      <c r="J236" s="10" t="s">
        <v>18</v>
      </c>
      <c r="K236" s="9">
        <v>2023</v>
      </c>
    </row>
    <row r="237" spans="1:11" x14ac:dyDescent="0.35">
      <c r="A237" s="14" t="s">
        <v>11</v>
      </c>
      <c r="B237" s="10" t="s">
        <v>10</v>
      </c>
      <c r="C237" s="10" t="s">
        <v>9</v>
      </c>
      <c r="D237" s="12">
        <v>319</v>
      </c>
      <c r="E237" s="13">
        <v>300</v>
      </c>
      <c r="F237" s="12">
        <f t="shared" si="6"/>
        <v>95700</v>
      </c>
      <c r="G237" s="12">
        <v>275000</v>
      </c>
      <c r="H237" s="12">
        <f t="shared" si="7"/>
        <v>-179300</v>
      </c>
      <c r="I237" s="11">
        <v>44896</v>
      </c>
      <c r="J237" s="10" t="s">
        <v>17</v>
      </c>
      <c r="K237" s="9">
        <v>2022</v>
      </c>
    </row>
    <row r="238" spans="1:11" x14ac:dyDescent="0.35">
      <c r="A238" s="14" t="s">
        <v>16</v>
      </c>
      <c r="B238" s="10" t="s">
        <v>15</v>
      </c>
      <c r="C238" s="10" t="s">
        <v>5</v>
      </c>
      <c r="D238" s="12">
        <v>1610</v>
      </c>
      <c r="E238" s="13">
        <v>20</v>
      </c>
      <c r="F238" s="12">
        <f t="shared" si="6"/>
        <v>32200</v>
      </c>
      <c r="G238" s="12">
        <v>13030</v>
      </c>
      <c r="H238" s="12">
        <f t="shared" si="7"/>
        <v>19170</v>
      </c>
      <c r="I238" s="11">
        <v>44958</v>
      </c>
      <c r="J238" s="10" t="s">
        <v>8</v>
      </c>
      <c r="K238" s="9">
        <v>2023</v>
      </c>
    </row>
    <row r="239" spans="1:11" x14ac:dyDescent="0.35">
      <c r="A239" s="14" t="s">
        <v>3</v>
      </c>
      <c r="B239" s="10" t="s">
        <v>2</v>
      </c>
      <c r="C239" s="10" t="s">
        <v>5</v>
      </c>
      <c r="D239" s="12">
        <v>4100</v>
      </c>
      <c r="E239" s="13">
        <v>125</v>
      </c>
      <c r="F239" s="12">
        <f t="shared" si="6"/>
        <v>512500</v>
      </c>
      <c r="G239" s="12">
        <v>359040</v>
      </c>
      <c r="H239" s="12">
        <f t="shared" si="7"/>
        <v>153460</v>
      </c>
      <c r="I239" s="11">
        <v>44986</v>
      </c>
      <c r="J239" s="10" t="s">
        <v>14</v>
      </c>
      <c r="K239" s="9">
        <v>2023</v>
      </c>
    </row>
    <row r="240" spans="1:11" x14ac:dyDescent="0.35">
      <c r="A240" s="14" t="s">
        <v>16</v>
      </c>
      <c r="B240" s="10" t="s">
        <v>15</v>
      </c>
      <c r="C240" s="10" t="s">
        <v>5</v>
      </c>
      <c r="D240" s="12">
        <v>1012</v>
      </c>
      <c r="E240" s="13">
        <v>125</v>
      </c>
      <c r="F240" s="12">
        <f t="shared" si="6"/>
        <v>126500</v>
      </c>
      <c r="G240" s="12">
        <v>286200</v>
      </c>
      <c r="H240" s="12">
        <f t="shared" si="7"/>
        <v>-159700</v>
      </c>
      <c r="I240" s="11">
        <v>44986</v>
      </c>
      <c r="J240" s="10" t="s">
        <v>14</v>
      </c>
      <c r="K240" s="9">
        <v>2023</v>
      </c>
    </row>
    <row r="241" spans="1:11" x14ac:dyDescent="0.35">
      <c r="A241" s="14" t="s">
        <v>11</v>
      </c>
      <c r="B241" s="10" t="s">
        <v>10</v>
      </c>
      <c r="C241" s="10" t="s">
        <v>5</v>
      </c>
      <c r="D241" s="12">
        <v>3337</v>
      </c>
      <c r="E241" s="13">
        <v>300</v>
      </c>
      <c r="F241" s="12">
        <f t="shared" si="6"/>
        <v>1001100</v>
      </c>
      <c r="G241" s="12">
        <v>401750</v>
      </c>
      <c r="H241" s="12">
        <f t="shared" si="7"/>
        <v>599350</v>
      </c>
      <c r="I241" s="11">
        <v>45017</v>
      </c>
      <c r="J241" s="10" t="s">
        <v>4</v>
      </c>
      <c r="K241" s="9">
        <v>2023</v>
      </c>
    </row>
    <row r="242" spans="1:11" x14ac:dyDescent="0.35">
      <c r="A242" s="14" t="s">
        <v>3</v>
      </c>
      <c r="B242" s="10" t="s">
        <v>2</v>
      </c>
      <c r="C242" s="10" t="s">
        <v>5</v>
      </c>
      <c r="D242" s="12">
        <v>3955</v>
      </c>
      <c r="E242" s="13">
        <v>7</v>
      </c>
      <c r="F242" s="12">
        <f t="shared" si="6"/>
        <v>27685</v>
      </c>
      <c r="G242" s="12">
        <v>11635</v>
      </c>
      <c r="H242" s="12">
        <f t="shared" si="7"/>
        <v>16050</v>
      </c>
      <c r="I242" s="11">
        <v>45047</v>
      </c>
      <c r="J242" s="10" t="s">
        <v>0</v>
      </c>
      <c r="K242" s="9">
        <v>2023</v>
      </c>
    </row>
    <row r="243" spans="1:11" x14ac:dyDescent="0.35">
      <c r="A243" s="14" t="s">
        <v>3</v>
      </c>
      <c r="B243" s="10" t="s">
        <v>2</v>
      </c>
      <c r="C243" s="10" t="s">
        <v>5</v>
      </c>
      <c r="D243" s="12">
        <v>4347</v>
      </c>
      <c r="E243" s="13">
        <v>300</v>
      </c>
      <c r="F243" s="12">
        <f t="shared" si="6"/>
        <v>1304100</v>
      </c>
      <c r="G243" s="12">
        <v>247750</v>
      </c>
      <c r="H243" s="12">
        <f t="shared" si="7"/>
        <v>1056350</v>
      </c>
      <c r="I243" s="11">
        <v>45078</v>
      </c>
      <c r="J243" s="10" t="s">
        <v>26</v>
      </c>
      <c r="K243" s="9">
        <v>2023</v>
      </c>
    </row>
    <row r="244" spans="1:11" x14ac:dyDescent="0.35">
      <c r="A244" s="14" t="s">
        <v>3</v>
      </c>
      <c r="B244" s="10" t="s">
        <v>2</v>
      </c>
      <c r="C244" s="10" t="s">
        <v>5</v>
      </c>
      <c r="D244" s="12">
        <v>1548</v>
      </c>
      <c r="E244" s="13">
        <v>350</v>
      </c>
      <c r="F244" s="12">
        <f t="shared" si="6"/>
        <v>541800</v>
      </c>
      <c r="G244" s="12">
        <v>156520</v>
      </c>
      <c r="H244" s="12">
        <f t="shared" si="7"/>
        <v>385280</v>
      </c>
      <c r="I244" s="11">
        <v>45078</v>
      </c>
      <c r="J244" s="10" t="s">
        <v>26</v>
      </c>
      <c r="K244" s="9">
        <v>2023</v>
      </c>
    </row>
    <row r="245" spans="1:11" x14ac:dyDescent="0.35">
      <c r="A245" s="14" t="s">
        <v>16</v>
      </c>
      <c r="B245" s="10" t="s">
        <v>15</v>
      </c>
      <c r="C245" s="10" t="s">
        <v>5</v>
      </c>
      <c r="D245" s="12">
        <v>2153</v>
      </c>
      <c r="E245" s="13">
        <v>15</v>
      </c>
      <c r="F245" s="12">
        <f t="shared" si="6"/>
        <v>32295</v>
      </c>
      <c r="G245" s="12">
        <v>26200</v>
      </c>
      <c r="H245" s="12">
        <f t="shared" si="7"/>
        <v>6095</v>
      </c>
      <c r="I245" s="11">
        <v>45170</v>
      </c>
      <c r="J245" s="10" t="s">
        <v>22</v>
      </c>
      <c r="K245" s="9">
        <v>2023</v>
      </c>
    </row>
    <row r="246" spans="1:11" x14ac:dyDescent="0.35">
      <c r="A246" s="14" t="s">
        <v>7</v>
      </c>
      <c r="B246" s="10" t="s">
        <v>6</v>
      </c>
      <c r="C246" s="10" t="s">
        <v>5</v>
      </c>
      <c r="D246" s="12">
        <v>3789</v>
      </c>
      <c r="E246" s="13">
        <v>350</v>
      </c>
      <c r="F246" s="12">
        <f t="shared" si="6"/>
        <v>1326150</v>
      </c>
      <c r="G246" s="12">
        <v>319280</v>
      </c>
      <c r="H246" s="12">
        <f t="shared" si="7"/>
        <v>1006870</v>
      </c>
      <c r="I246" s="11">
        <v>44835</v>
      </c>
      <c r="J246" s="10" t="s">
        <v>12</v>
      </c>
      <c r="K246" s="9">
        <v>2022</v>
      </c>
    </row>
    <row r="247" spans="1:11" x14ac:dyDescent="0.35">
      <c r="A247" s="14" t="s">
        <v>7</v>
      </c>
      <c r="B247" s="10" t="s">
        <v>6</v>
      </c>
      <c r="C247" s="10" t="s">
        <v>5</v>
      </c>
      <c r="D247" s="12">
        <v>4364</v>
      </c>
      <c r="E247" s="13">
        <v>20</v>
      </c>
      <c r="F247" s="12">
        <f t="shared" si="6"/>
        <v>87280</v>
      </c>
      <c r="G247" s="12">
        <v>13890</v>
      </c>
      <c r="H247" s="12">
        <f t="shared" si="7"/>
        <v>73390</v>
      </c>
      <c r="I247" s="11">
        <v>44835</v>
      </c>
      <c r="J247" s="10" t="s">
        <v>12</v>
      </c>
      <c r="K247" s="9">
        <v>2022</v>
      </c>
    </row>
    <row r="248" spans="1:11" x14ac:dyDescent="0.35">
      <c r="A248" s="14" t="s">
        <v>3</v>
      </c>
      <c r="B248" s="10" t="s">
        <v>2</v>
      </c>
      <c r="C248" s="10" t="s">
        <v>5</v>
      </c>
      <c r="D248" s="12">
        <v>4126</v>
      </c>
      <c r="E248" s="13">
        <v>125</v>
      </c>
      <c r="F248" s="12">
        <f t="shared" si="6"/>
        <v>515750</v>
      </c>
      <c r="G248" s="12">
        <v>103320</v>
      </c>
      <c r="H248" s="12">
        <f t="shared" si="7"/>
        <v>412430</v>
      </c>
      <c r="I248" s="11">
        <v>45200</v>
      </c>
      <c r="J248" s="10" t="s">
        <v>12</v>
      </c>
      <c r="K248" s="9">
        <v>2023</v>
      </c>
    </row>
    <row r="249" spans="1:11" x14ac:dyDescent="0.35">
      <c r="A249" s="14" t="s">
        <v>16</v>
      </c>
      <c r="B249" s="10" t="s">
        <v>15</v>
      </c>
      <c r="C249" s="10" t="s">
        <v>5</v>
      </c>
      <c r="D249" s="12">
        <v>1343</v>
      </c>
      <c r="E249" s="13">
        <v>125</v>
      </c>
      <c r="F249" s="12">
        <f t="shared" si="6"/>
        <v>167875</v>
      </c>
      <c r="G249" s="12">
        <v>84480</v>
      </c>
      <c r="H249" s="12">
        <f t="shared" si="7"/>
        <v>83395</v>
      </c>
      <c r="I249" s="11">
        <v>44835</v>
      </c>
      <c r="J249" s="10" t="s">
        <v>12</v>
      </c>
      <c r="K249" s="9">
        <v>2022</v>
      </c>
    </row>
    <row r="250" spans="1:11" x14ac:dyDescent="0.35">
      <c r="A250" s="14" t="s">
        <v>7</v>
      </c>
      <c r="B250" s="10" t="s">
        <v>6</v>
      </c>
      <c r="C250" s="10" t="s">
        <v>5</v>
      </c>
      <c r="D250" s="12">
        <v>245</v>
      </c>
      <c r="E250" s="13">
        <v>20</v>
      </c>
      <c r="F250" s="12">
        <f t="shared" si="6"/>
        <v>4900</v>
      </c>
      <c r="G250" s="12">
        <v>18020</v>
      </c>
      <c r="H250" s="12">
        <f t="shared" si="7"/>
        <v>-13120</v>
      </c>
      <c r="I250" s="11">
        <v>44896</v>
      </c>
      <c r="J250" s="10" t="s">
        <v>17</v>
      </c>
      <c r="K250" s="9">
        <v>2022</v>
      </c>
    </row>
    <row r="251" spans="1:11" x14ac:dyDescent="0.35">
      <c r="A251" s="14" t="s">
        <v>3</v>
      </c>
      <c r="B251" s="10" t="s">
        <v>2</v>
      </c>
      <c r="C251" s="10" t="s">
        <v>5</v>
      </c>
      <c r="D251" s="12">
        <v>3376</v>
      </c>
      <c r="E251" s="13">
        <v>20</v>
      </c>
      <c r="F251" s="12">
        <f t="shared" si="6"/>
        <v>67520</v>
      </c>
      <c r="G251" s="12">
        <v>26630</v>
      </c>
      <c r="H251" s="12">
        <f t="shared" si="7"/>
        <v>40890</v>
      </c>
      <c r="I251" s="11">
        <v>45261</v>
      </c>
      <c r="J251" s="10" t="s">
        <v>17</v>
      </c>
      <c r="K251" s="9">
        <v>2023</v>
      </c>
    </row>
    <row r="252" spans="1:11" x14ac:dyDescent="0.35">
      <c r="A252" s="14" t="s">
        <v>16</v>
      </c>
      <c r="B252" s="10" t="s">
        <v>15</v>
      </c>
      <c r="C252" s="10" t="s">
        <v>5</v>
      </c>
      <c r="D252" s="12">
        <v>1401</v>
      </c>
      <c r="E252" s="13">
        <v>7</v>
      </c>
      <c r="F252" s="12">
        <f t="shared" si="6"/>
        <v>9807</v>
      </c>
      <c r="G252" s="12">
        <v>10680</v>
      </c>
      <c r="H252" s="12">
        <f t="shared" si="7"/>
        <v>-873</v>
      </c>
      <c r="I252" s="11">
        <v>44896</v>
      </c>
      <c r="J252" s="10" t="s">
        <v>17</v>
      </c>
      <c r="K252" s="9">
        <v>2022</v>
      </c>
    </row>
    <row r="253" spans="1:11" x14ac:dyDescent="0.35">
      <c r="A253" s="14" t="s">
        <v>19</v>
      </c>
      <c r="B253" s="10" t="s">
        <v>6</v>
      </c>
      <c r="C253" s="10" t="s">
        <v>5</v>
      </c>
      <c r="D253" s="12">
        <v>3483</v>
      </c>
      <c r="E253" s="13">
        <v>15</v>
      </c>
      <c r="F253" s="12">
        <f t="shared" si="6"/>
        <v>52245</v>
      </c>
      <c r="G253" s="12">
        <v>21160</v>
      </c>
      <c r="H253" s="12">
        <f t="shared" si="7"/>
        <v>31085</v>
      </c>
      <c r="I253" s="11">
        <v>44896</v>
      </c>
      <c r="J253" s="10" t="s">
        <v>17</v>
      </c>
      <c r="K253" s="9">
        <v>2022</v>
      </c>
    </row>
    <row r="254" spans="1:11" x14ac:dyDescent="0.35">
      <c r="A254" s="14" t="s">
        <v>3</v>
      </c>
      <c r="B254" s="10" t="s">
        <v>2</v>
      </c>
      <c r="C254" s="10" t="s">
        <v>21</v>
      </c>
      <c r="D254" s="12">
        <v>2244</v>
      </c>
      <c r="E254" s="13">
        <v>15</v>
      </c>
      <c r="F254" s="12">
        <f t="shared" si="6"/>
        <v>33660</v>
      </c>
      <c r="G254" s="12">
        <v>5550</v>
      </c>
      <c r="H254" s="12">
        <f t="shared" si="7"/>
        <v>28110</v>
      </c>
      <c r="I254" s="11">
        <v>44927</v>
      </c>
      <c r="J254" s="10" t="s">
        <v>25</v>
      </c>
      <c r="K254" s="9">
        <v>2023</v>
      </c>
    </row>
    <row r="255" spans="1:11" x14ac:dyDescent="0.35">
      <c r="A255" s="14" t="s">
        <v>11</v>
      </c>
      <c r="B255" s="10" t="s">
        <v>10</v>
      </c>
      <c r="C255" s="10" t="s">
        <v>21</v>
      </c>
      <c r="D255" s="12">
        <v>1360</v>
      </c>
      <c r="E255" s="13">
        <v>15</v>
      </c>
      <c r="F255" s="12">
        <f t="shared" si="6"/>
        <v>20400</v>
      </c>
      <c r="G255" s="12">
        <v>28610</v>
      </c>
      <c r="H255" s="12">
        <f t="shared" si="7"/>
        <v>-8210</v>
      </c>
      <c r="I255" s="11">
        <v>44927</v>
      </c>
      <c r="J255" s="10" t="s">
        <v>25</v>
      </c>
      <c r="K255" s="9">
        <v>2023</v>
      </c>
    </row>
    <row r="256" spans="1:11" x14ac:dyDescent="0.35">
      <c r="A256" s="14" t="s">
        <v>19</v>
      </c>
      <c r="B256" s="10" t="s">
        <v>6</v>
      </c>
      <c r="C256" s="10" t="s">
        <v>21</v>
      </c>
      <c r="D256" s="12">
        <v>279</v>
      </c>
      <c r="E256" s="13">
        <v>125</v>
      </c>
      <c r="F256" s="12">
        <f t="shared" si="6"/>
        <v>34875</v>
      </c>
      <c r="G256" s="12">
        <v>96840</v>
      </c>
      <c r="H256" s="12">
        <f t="shared" si="7"/>
        <v>-61965</v>
      </c>
      <c r="I256" s="11">
        <v>44958</v>
      </c>
      <c r="J256" s="10" t="s">
        <v>8</v>
      </c>
      <c r="K256" s="9">
        <v>2023</v>
      </c>
    </row>
    <row r="257" spans="1:11" x14ac:dyDescent="0.35">
      <c r="A257" s="14" t="s">
        <v>3</v>
      </c>
      <c r="B257" s="10" t="s">
        <v>2</v>
      </c>
      <c r="C257" s="10" t="s">
        <v>21</v>
      </c>
      <c r="D257" s="12">
        <v>2521</v>
      </c>
      <c r="E257" s="13">
        <v>350</v>
      </c>
      <c r="F257" s="12">
        <f t="shared" si="6"/>
        <v>882350</v>
      </c>
      <c r="G257" s="12">
        <v>156520</v>
      </c>
      <c r="H257" s="12">
        <f t="shared" si="7"/>
        <v>725830</v>
      </c>
      <c r="I257" s="11">
        <v>45078</v>
      </c>
      <c r="J257" s="10" t="s">
        <v>26</v>
      </c>
      <c r="K257" s="9">
        <v>2023</v>
      </c>
    </row>
    <row r="258" spans="1:11" x14ac:dyDescent="0.35">
      <c r="A258" s="14" t="s">
        <v>3</v>
      </c>
      <c r="B258" s="10" t="s">
        <v>2</v>
      </c>
      <c r="C258" s="10" t="s">
        <v>21</v>
      </c>
      <c r="D258" s="12">
        <v>2433</v>
      </c>
      <c r="E258" s="13">
        <v>20</v>
      </c>
      <c r="F258" s="12">
        <f t="shared" ref="F258:F321" si="8">SUM(D258*E258)</f>
        <v>48660</v>
      </c>
      <c r="G258" s="12">
        <v>28320</v>
      </c>
      <c r="H258" s="12">
        <f t="shared" ref="H258:H321" si="9">F258-G258</f>
        <v>20340</v>
      </c>
      <c r="I258" s="11">
        <v>45139</v>
      </c>
      <c r="J258" s="10" t="s">
        <v>23</v>
      </c>
      <c r="K258" s="9">
        <v>2023</v>
      </c>
    </row>
    <row r="259" spans="1:11" x14ac:dyDescent="0.35">
      <c r="A259" s="14" t="s">
        <v>16</v>
      </c>
      <c r="B259" s="10" t="s">
        <v>15</v>
      </c>
      <c r="C259" s="10" t="s">
        <v>21</v>
      </c>
      <c r="D259" s="12">
        <v>1738</v>
      </c>
      <c r="E259" s="13">
        <v>20</v>
      </c>
      <c r="F259" s="12">
        <f t="shared" si="8"/>
        <v>34760</v>
      </c>
      <c r="G259" s="12">
        <v>15790</v>
      </c>
      <c r="H259" s="12">
        <f t="shared" si="9"/>
        <v>18970</v>
      </c>
      <c r="I259" s="11">
        <v>45139</v>
      </c>
      <c r="J259" s="10" t="s">
        <v>23</v>
      </c>
      <c r="K259" s="9">
        <v>2023</v>
      </c>
    </row>
    <row r="260" spans="1:11" x14ac:dyDescent="0.35">
      <c r="A260" s="14" t="s">
        <v>3</v>
      </c>
      <c r="B260" s="10" t="s">
        <v>2</v>
      </c>
      <c r="C260" s="10" t="s">
        <v>21</v>
      </c>
      <c r="D260" s="12">
        <v>1106</v>
      </c>
      <c r="E260" s="13">
        <v>125</v>
      </c>
      <c r="F260" s="12">
        <f t="shared" si="8"/>
        <v>138250</v>
      </c>
      <c r="G260" s="12">
        <v>103320</v>
      </c>
      <c r="H260" s="12">
        <f t="shared" si="9"/>
        <v>34930</v>
      </c>
      <c r="I260" s="11">
        <v>45200</v>
      </c>
      <c r="J260" s="10" t="s">
        <v>12</v>
      </c>
      <c r="K260" s="9">
        <v>2023</v>
      </c>
    </row>
    <row r="261" spans="1:11" x14ac:dyDescent="0.35">
      <c r="A261" s="14" t="s">
        <v>16</v>
      </c>
      <c r="B261" s="10" t="s">
        <v>15</v>
      </c>
      <c r="C261" s="10" t="s">
        <v>21</v>
      </c>
      <c r="D261" s="12">
        <v>3379</v>
      </c>
      <c r="E261" s="13">
        <v>125</v>
      </c>
      <c r="F261" s="12">
        <f t="shared" si="8"/>
        <v>422375</v>
      </c>
      <c r="G261" s="12">
        <v>84480</v>
      </c>
      <c r="H261" s="12">
        <f t="shared" si="9"/>
        <v>337895</v>
      </c>
      <c r="I261" s="11">
        <v>44835</v>
      </c>
      <c r="J261" s="10" t="s">
        <v>12</v>
      </c>
      <c r="K261" s="9">
        <v>2022</v>
      </c>
    </row>
    <row r="262" spans="1:11" x14ac:dyDescent="0.35">
      <c r="A262" s="14" t="s">
        <v>16</v>
      </c>
      <c r="B262" s="10" t="s">
        <v>15</v>
      </c>
      <c r="C262" s="10" t="s">
        <v>21</v>
      </c>
      <c r="D262" s="12">
        <v>1221</v>
      </c>
      <c r="E262" s="13">
        <v>20</v>
      </c>
      <c r="F262" s="12">
        <f t="shared" si="8"/>
        <v>24420</v>
      </c>
      <c r="G262" s="12">
        <v>10330</v>
      </c>
      <c r="H262" s="12">
        <f t="shared" si="9"/>
        <v>14090</v>
      </c>
      <c r="I262" s="11">
        <v>44896</v>
      </c>
      <c r="J262" s="10" t="s">
        <v>17</v>
      </c>
      <c r="K262" s="9">
        <v>2022</v>
      </c>
    </row>
    <row r="263" spans="1:11" x14ac:dyDescent="0.35">
      <c r="A263" s="14" t="s">
        <v>19</v>
      </c>
      <c r="B263" s="10" t="s">
        <v>6</v>
      </c>
      <c r="C263" s="10" t="s">
        <v>21</v>
      </c>
      <c r="D263" s="12">
        <v>213</v>
      </c>
      <c r="E263" s="13">
        <v>300</v>
      </c>
      <c r="F263" s="12">
        <f t="shared" si="8"/>
        <v>63900</v>
      </c>
      <c r="G263" s="12">
        <v>312500</v>
      </c>
      <c r="H263" s="12">
        <f t="shared" si="9"/>
        <v>-248600</v>
      </c>
      <c r="I263" s="11">
        <v>45261</v>
      </c>
      <c r="J263" s="10" t="s">
        <v>17</v>
      </c>
      <c r="K263" s="9">
        <v>2023</v>
      </c>
    </row>
    <row r="264" spans="1:11" x14ac:dyDescent="0.35">
      <c r="A264" s="14" t="s">
        <v>7</v>
      </c>
      <c r="B264" s="10" t="s">
        <v>6</v>
      </c>
      <c r="C264" s="10" t="s">
        <v>1</v>
      </c>
      <c r="D264" s="12">
        <v>3335</v>
      </c>
      <c r="E264" s="13">
        <v>20</v>
      </c>
      <c r="F264" s="12">
        <f t="shared" si="8"/>
        <v>66700</v>
      </c>
      <c r="G264" s="12">
        <v>13890</v>
      </c>
      <c r="H264" s="12">
        <f t="shared" si="9"/>
        <v>52810</v>
      </c>
      <c r="I264" s="11">
        <v>44835</v>
      </c>
      <c r="J264" s="10" t="s">
        <v>12</v>
      </c>
      <c r="K264" s="9">
        <v>2022</v>
      </c>
    </row>
    <row r="265" spans="1:11" x14ac:dyDescent="0.35">
      <c r="A265" s="14" t="s">
        <v>3</v>
      </c>
      <c r="B265" s="10" t="s">
        <v>2</v>
      </c>
      <c r="C265" s="10" t="s">
        <v>1</v>
      </c>
      <c r="D265" s="12">
        <v>1260</v>
      </c>
      <c r="E265" s="13">
        <v>20</v>
      </c>
      <c r="F265" s="12">
        <f t="shared" si="8"/>
        <v>25200</v>
      </c>
      <c r="G265" s="12">
        <v>12650</v>
      </c>
      <c r="H265" s="12">
        <f t="shared" si="9"/>
        <v>12550</v>
      </c>
      <c r="I265" s="11">
        <v>44866</v>
      </c>
      <c r="J265" s="10" t="s">
        <v>18</v>
      </c>
      <c r="K265" s="9">
        <v>2022</v>
      </c>
    </row>
    <row r="266" spans="1:11" x14ac:dyDescent="0.35">
      <c r="A266" s="14" t="s">
        <v>19</v>
      </c>
      <c r="B266" s="10" t="s">
        <v>6</v>
      </c>
      <c r="C266" s="10" t="s">
        <v>1</v>
      </c>
      <c r="D266" s="12">
        <v>3034</v>
      </c>
      <c r="E266" s="13">
        <v>20</v>
      </c>
      <c r="F266" s="12">
        <f t="shared" si="8"/>
        <v>60680</v>
      </c>
      <c r="G266" s="12">
        <v>22970</v>
      </c>
      <c r="H266" s="12">
        <f t="shared" si="9"/>
        <v>37710</v>
      </c>
      <c r="I266" s="11">
        <v>44866</v>
      </c>
      <c r="J266" s="10" t="s">
        <v>18</v>
      </c>
      <c r="K266" s="9">
        <v>2022</v>
      </c>
    </row>
    <row r="267" spans="1:11" x14ac:dyDescent="0.35">
      <c r="A267" s="14" t="s">
        <v>3</v>
      </c>
      <c r="B267" s="10" t="s">
        <v>2</v>
      </c>
      <c r="C267" s="10" t="s">
        <v>1</v>
      </c>
      <c r="D267" s="12">
        <v>2929</v>
      </c>
      <c r="E267" s="13">
        <v>20</v>
      </c>
      <c r="F267" s="12">
        <f t="shared" si="8"/>
        <v>58580</v>
      </c>
      <c r="G267" s="12">
        <v>26630</v>
      </c>
      <c r="H267" s="12">
        <f t="shared" si="9"/>
        <v>31950</v>
      </c>
      <c r="I267" s="11">
        <v>45261</v>
      </c>
      <c r="J267" s="10" t="s">
        <v>17</v>
      </c>
      <c r="K267" s="9">
        <v>2023</v>
      </c>
    </row>
    <row r="268" spans="1:11" x14ac:dyDescent="0.35">
      <c r="A268" s="14" t="s">
        <v>3</v>
      </c>
      <c r="B268" s="10" t="s">
        <v>2</v>
      </c>
      <c r="C268" s="10" t="s">
        <v>1</v>
      </c>
      <c r="D268" s="12">
        <v>2389</v>
      </c>
      <c r="E268" s="13">
        <v>7</v>
      </c>
      <c r="F268" s="12">
        <f t="shared" si="8"/>
        <v>16723</v>
      </c>
      <c r="G268" s="12">
        <v>2850</v>
      </c>
      <c r="H268" s="12">
        <f t="shared" si="9"/>
        <v>13873</v>
      </c>
      <c r="I268" s="11">
        <v>45261</v>
      </c>
      <c r="J268" s="10" t="s">
        <v>17</v>
      </c>
      <c r="K268" s="9">
        <v>2023</v>
      </c>
    </row>
    <row r="269" spans="1:11" x14ac:dyDescent="0.35">
      <c r="A269" s="14" t="s">
        <v>16</v>
      </c>
      <c r="B269" s="10" t="s">
        <v>15</v>
      </c>
      <c r="C269" s="10" t="s">
        <v>1</v>
      </c>
      <c r="D269" s="12">
        <v>3086</v>
      </c>
      <c r="E269" s="13">
        <v>7</v>
      </c>
      <c r="F269" s="12">
        <f t="shared" si="8"/>
        <v>21602</v>
      </c>
      <c r="G269" s="12">
        <v>12435</v>
      </c>
      <c r="H269" s="12">
        <f t="shared" si="9"/>
        <v>9167</v>
      </c>
      <c r="I269" s="11">
        <v>45261</v>
      </c>
      <c r="J269" s="10" t="s">
        <v>17</v>
      </c>
      <c r="K269" s="9">
        <v>2023</v>
      </c>
    </row>
    <row r="270" spans="1:11" x14ac:dyDescent="0.35">
      <c r="A270" s="14" t="s">
        <v>19</v>
      </c>
      <c r="B270" s="10" t="s">
        <v>6</v>
      </c>
      <c r="C270" s="10" t="s">
        <v>13</v>
      </c>
      <c r="D270" s="12">
        <v>745</v>
      </c>
      <c r="E270" s="13">
        <v>350</v>
      </c>
      <c r="F270" s="12">
        <f t="shared" si="8"/>
        <v>260750</v>
      </c>
      <c r="G270" s="12">
        <v>351000</v>
      </c>
      <c r="H270" s="12">
        <f t="shared" si="9"/>
        <v>-90250</v>
      </c>
      <c r="I270" s="11">
        <v>44958</v>
      </c>
      <c r="J270" s="10" t="s">
        <v>8</v>
      </c>
      <c r="K270" s="9">
        <v>2023</v>
      </c>
    </row>
    <row r="271" spans="1:11" x14ac:dyDescent="0.35">
      <c r="A271" s="14" t="s">
        <v>7</v>
      </c>
      <c r="B271" s="10" t="s">
        <v>6</v>
      </c>
      <c r="C271" s="10" t="s">
        <v>13</v>
      </c>
      <c r="D271" s="12">
        <v>1266</v>
      </c>
      <c r="E271" s="13">
        <v>350</v>
      </c>
      <c r="F271" s="12">
        <f t="shared" si="8"/>
        <v>443100</v>
      </c>
      <c r="G271" s="12">
        <v>143520</v>
      </c>
      <c r="H271" s="12">
        <f t="shared" si="9"/>
        <v>299580</v>
      </c>
      <c r="I271" s="11">
        <v>45139</v>
      </c>
      <c r="J271" s="10" t="s">
        <v>23</v>
      </c>
      <c r="K271" s="9">
        <v>2023</v>
      </c>
    </row>
    <row r="272" spans="1:11" x14ac:dyDescent="0.35">
      <c r="A272" s="14" t="s">
        <v>7</v>
      </c>
      <c r="B272" s="10" t="s">
        <v>6</v>
      </c>
      <c r="C272" s="10" t="s">
        <v>13</v>
      </c>
      <c r="D272" s="12">
        <v>3790</v>
      </c>
      <c r="E272" s="13">
        <v>350</v>
      </c>
      <c r="F272" s="12">
        <f t="shared" si="8"/>
        <v>1326500</v>
      </c>
      <c r="G272" s="12">
        <v>319280</v>
      </c>
      <c r="H272" s="12">
        <f t="shared" si="9"/>
        <v>1007220</v>
      </c>
      <c r="I272" s="11">
        <v>44835</v>
      </c>
      <c r="J272" s="10" t="s">
        <v>12</v>
      </c>
      <c r="K272" s="9">
        <v>2022</v>
      </c>
    </row>
    <row r="273" spans="1:11" x14ac:dyDescent="0.35">
      <c r="A273" s="14" t="s">
        <v>19</v>
      </c>
      <c r="B273" s="10" t="s">
        <v>6</v>
      </c>
      <c r="C273" s="10" t="s">
        <v>13</v>
      </c>
      <c r="D273" s="12">
        <v>4287</v>
      </c>
      <c r="E273" s="13">
        <v>300</v>
      </c>
      <c r="F273" s="12">
        <f t="shared" si="8"/>
        <v>1286100</v>
      </c>
      <c r="G273" s="12">
        <v>312500</v>
      </c>
      <c r="H273" s="12">
        <f t="shared" si="9"/>
        <v>973600</v>
      </c>
      <c r="I273" s="11">
        <v>45261</v>
      </c>
      <c r="J273" s="10" t="s">
        <v>17</v>
      </c>
      <c r="K273" s="9">
        <v>2023</v>
      </c>
    </row>
    <row r="274" spans="1:11" x14ac:dyDescent="0.35">
      <c r="A274" s="14" t="s">
        <v>16</v>
      </c>
      <c r="B274" s="10" t="s">
        <v>15</v>
      </c>
      <c r="C274" s="10" t="s">
        <v>5</v>
      </c>
      <c r="D274" s="12">
        <v>3193</v>
      </c>
      <c r="E274" s="13">
        <v>15</v>
      </c>
      <c r="F274" s="12">
        <f t="shared" si="8"/>
        <v>47895</v>
      </c>
      <c r="G274" s="12">
        <v>38010</v>
      </c>
      <c r="H274" s="12">
        <f t="shared" si="9"/>
        <v>9885</v>
      </c>
      <c r="I274" s="11">
        <v>45017</v>
      </c>
      <c r="J274" s="10" t="s">
        <v>4</v>
      </c>
      <c r="K274" s="9">
        <v>2023</v>
      </c>
    </row>
    <row r="275" spans="1:11" x14ac:dyDescent="0.35">
      <c r="A275" s="14" t="s">
        <v>3</v>
      </c>
      <c r="B275" s="10" t="s">
        <v>2</v>
      </c>
      <c r="C275" s="10" t="s">
        <v>24</v>
      </c>
      <c r="D275" s="12">
        <v>1967</v>
      </c>
      <c r="E275" s="13">
        <v>20</v>
      </c>
      <c r="F275" s="12">
        <f t="shared" si="8"/>
        <v>39340</v>
      </c>
      <c r="G275" s="12">
        <v>11175</v>
      </c>
      <c r="H275" s="12">
        <f t="shared" si="9"/>
        <v>28165</v>
      </c>
      <c r="I275" s="11">
        <v>44927</v>
      </c>
      <c r="J275" s="10" t="s">
        <v>25</v>
      </c>
      <c r="K275" s="9">
        <v>2023</v>
      </c>
    </row>
    <row r="276" spans="1:11" x14ac:dyDescent="0.35">
      <c r="A276" s="14" t="s">
        <v>7</v>
      </c>
      <c r="B276" s="10" t="s">
        <v>6</v>
      </c>
      <c r="C276" s="10" t="s">
        <v>24</v>
      </c>
      <c r="D276" s="12">
        <v>631</v>
      </c>
      <c r="E276" s="13">
        <v>15</v>
      </c>
      <c r="F276" s="12">
        <f t="shared" si="8"/>
        <v>9465</v>
      </c>
      <c r="G276" s="12">
        <v>28440</v>
      </c>
      <c r="H276" s="12">
        <f t="shared" si="9"/>
        <v>-18975</v>
      </c>
      <c r="I276" s="11">
        <v>45078</v>
      </c>
      <c r="J276" s="10" t="s">
        <v>26</v>
      </c>
      <c r="K276" s="9">
        <v>2023</v>
      </c>
    </row>
    <row r="277" spans="1:11" x14ac:dyDescent="0.35">
      <c r="A277" s="14" t="s">
        <v>11</v>
      </c>
      <c r="B277" s="10" t="s">
        <v>10</v>
      </c>
      <c r="C277" s="10" t="s">
        <v>24</v>
      </c>
      <c r="D277" s="12">
        <v>3469</v>
      </c>
      <c r="E277" s="13">
        <v>12</v>
      </c>
      <c r="F277" s="12">
        <f t="shared" si="8"/>
        <v>41628</v>
      </c>
      <c r="G277" s="12">
        <v>1686</v>
      </c>
      <c r="H277" s="12">
        <f t="shared" si="9"/>
        <v>39942</v>
      </c>
      <c r="I277" s="11">
        <v>45170</v>
      </c>
      <c r="J277" s="10" t="s">
        <v>22</v>
      </c>
      <c r="K277" s="9">
        <v>2023</v>
      </c>
    </row>
    <row r="278" spans="1:11" x14ac:dyDescent="0.35">
      <c r="A278" s="14" t="s">
        <v>7</v>
      </c>
      <c r="B278" s="10" t="s">
        <v>6</v>
      </c>
      <c r="C278" s="10" t="s">
        <v>24</v>
      </c>
      <c r="D278" s="12">
        <v>570</v>
      </c>
      <c r="E278" s="13">
        <v>12</v>
      </c>
      <c r="F278" s="12">
        <f t="shared" si="8"/>
        <v>6840</v>
      </c>
      <c r="G278" s="12">
        <v>6897</v>
      </c>
      <c r="H278" s="12">
        <f t="shared" si="9"/>
        <v>-57</v>
      </c>
      <c r="I278" s="11">
        <v>44835</v>
      </c>
      <c r="J278" s="10" t="s">
        <v>12</v>
      </c>
      <c r="K278" s="9">
        <v>2022</v>
      </c>
    </row>
    <row r="279" spans="1:11" x14ac:dyDescent="0.35">
      <c r="A279" s="14" t="s">
        <v>3</v>
      </c>
      <c r="B279" s="10" t="s">
        <v>2</v>
      </c>
      <c r="C279" s="10" t="s">
        <v>24</v>
      </c>
      <c r="D279" s="12">
        <v>3215</v>
      </c>
      <c r="E279" s="13">
        <v>15</v>
      </c>
      <c r="F279" s="12">
        <f t="shared" si="8"/>
        <v>48225</v>
      </c>
      <c r="G279" s="12">
        <v>20300</v>
      </c>
      <c r="H279" s="12">
        <f t="shared" si="9"/>
        <v>27925</v>
      </c>
      <c r="I279" s="11">
        <v>45231</v>
      </c>
      <c r="J279" s="10" t="s">
        <v>18</v>
      </c>
      <c r="K279" s="9">
        <v>2023</v>
      </c>
    </row>
    <row r="280" spans="1:11" x14ac:dyDescent="0.35">
      <c r="A280" s="14" t="s">
        <v>3</v>
      </c>
      <c r="B280" s="10" t="s">
        <v>2</v>
      </c>
      <c r="C280" s="10" t="s">
        <v>24</v>
      </c>
      <c r="D280" s="12">
        <v>3754</v>
      </c>
      <c r="E280" s="13">
        <v>7</v>
      </c>
      <c r="F280" s="12">
        <f t="shared" si="8"/>
        <v>26278</v>
      </c>
      <c r="G280" s="12">
        <v>1315</v>
      </c>
      <c r="H280" s="12">
        <f t="shared" si="9"/>
        <v>24963</v>
      </c>
      <c r="I280" s="11">
        <v>44866</v>
      </c>
      <c r="J280" s="10" t="s">
        <v>18</v>
      </c>
      <c r="K280" s="9">
        <v>2022</v>
      </c>
    </row>
    <row r="281" spans="1:11" x14ac:dyDescent="0.35">
      <c r="A281" s="14" t="s">
        <v>19</v>
      </c>
      <c r="B281" s="10" t="s">
        <v>6</v>
      </c>
      <c r="C281" s="10" t="s">
        <v>24</v>
      </c>
      <c r="D281" s="12">
        <v>2187</v>
      </c>
      <c r="E281" s="13">
        <v>125</v>
      </c>
      <c r="F281" s="12">
        <f t="shared" si="8"/>
        <v>273375</v>
      </c>
      <c r="G281" s="12">
        <v>106440</v>
      </c>
      <c r="H281" s="12">
        <f t="shared" si="9"/>
        <v>166935</v>
      </c>
      <c r="I281" s="11">
        <v>44896</v>
      </c>
      <c r="J281" s="10" t="s">
        <v>17</v>
      </c>
      <c r="K281" s="9">
        <v>2022</v>
      </c>
    </row>
    <row r="282" spans="1:11" x14ac:dyDescent="0.35">
      <c r="A282" s="14" t="s">
        <v>11</v>
      </c>
      <c r="B282" s="10" t="s">
        <v>10</v>
      </c>
      <c r="C282" s="10" t="s">
        <v>9</v>
      </c>
      <c r="D282" s="12">
        <v>1959</v>
      </c>
      <c r="E282" s="13">
        <v>350</v>
      </c>
      <c r="F282" s="12">
        <f t="shared" si="8"/>
        <v>685650</v>
      </c>
      <c r="G282" s="12">
        <v>254800</v>
      </c>
      <c r="H282" s="12">
        <f t="shared" si="9"/>
        <v>430850</v>
      </c>
      <c r="I282" s="11">
        <v>45017</v>
      </c>
      <c r="J282" s="10" t="s">
        <v>4</v>
      </c>
      <c r="K282" s="9">
        <v>2023</v>
      </c>
    </row>
    <row r="283" spans="1:11" x14ac:dyDescent="0.35">
      <c r="A283" s="14" t="s">
        <v>19</v>
      </c>
      <c r="B283" s="10" t="s">
        <v>6</v>
      </c>
      <c r="C283" s="10" t="s">
        <v>9</v>
      </c>
      <c r="D283" s="12">
        <v>2181</v>
      </c>
      <c r="E283" s="13">
        <v>350</v>
      </c>
      <c r="F283" s="12">
        <f t="shared" si="8"/>
        <v>763350</v>
      </c>
      <c r="G283" s="12">
        <v>379600</v>
      </c>
      <c r="H283" s="12">
        <f t="shared" si="9"/>
        <v>383750</v>
      </c>
      <c r="I283" s="11">
        <v>45047</v>
      </c>
      <c r="J283" s="10" t="s">
        <v>0</v>
      </c>
      <c r="K283" s="9">
        <v>2023</v>
      </c>
    </row>
    <row r="284" spans="1:11" x14ac:dyDescent="0.35">
      <c r="A284" s="14" t="s">
        <v>16</v>
      </c>
      <c r="B284" s="10" t="s">
        <v>15</v>
      </c>
      <c r="C284" s="10" t="s">
        <v>9</v>
      </c>
      <c r="D284" s="12">
        <v>3559</v>
      </c>
      <c r="E284" s="13">
        <v>7</v>
      </c>
      <c r="F284" s="12">
        <f t="shared" si="8"/>
        <v>24913</v>
      </c>
      <c r="G284" s="12">
        <v>7015</v>
      </c>
      <c r="H284" s="12">
        <f t="shared" si="9"/>
        <v>17898</v>
      </c>
      <c r="I284" s="11">
        <v>44835</v>
      </c>
      <c r="J284" s="10" t="s">
        <v>12</v>
      </c>
      <c r="K284" s="9">
        <v>2022</v>
      </c>
    </row>
    <row r="285" spans="1:11" x14ac:dyDescent="0.35">
      <c r="A285" s="14" t="s">
        <v>3</v>
      </c>
      <c r="B285" s="10" t="s">
        <v>2</v>
      </c>
      <c r="C285" s="10" t="s">
        <v>9</v>
      </c>
      <c r="D285" s="12">
        <v>2205</v>
      </c>
      <c r="E285" s="13">
        <v>12</v>
      </c>
      <c r="F285" s="12">
        <f t="shared" si="8"/>
        <v>26460</v>
      </c>
      <c r="G285" s="12">
        <v>8169</v>
      </c>
      <c r="H285" s="12">
        <f t="shared" si="9"/>
        <v>18291</v>
      </c>
      <c r="I285" s="11">
        <v>45231</v>
      </c>
      <c r="J285" s="10" t="s">
        <v>18</v>
      </c>
      <c r="K285" s="9">
        <v>2023</v>
      </c>
    </row>
    <row r="286" spans="1:11" x14ac:dyDescent="0.35">
      <c r="A286" s="14" t="s">
        <v>16</v>
      </c>
      <c r="B286" s="10" t="s">
        <v>15</v>
      </c>
      <c r="C286" s="10" t="s">
        <v>5</v>
      </c>
      <c r="D286" s="12">
        <v>1890</v>
      </c>
      <c r="E286" s="13">
        <v>350</v>
      </c>
      <c r="F286" s="12">
        <f t="shared" si="8"/>
        <v>661500</v>
      </c>
      <c r="G286" s="12">
        <v>388960</v>
      </c>
      <c r="H286" s="12">
        <f t="shared" si="9"/>
        <v>272540</v>
      </c>
      <c r="I286" s="11">
        <v>45078</v>
      </c>
      <c r="J286" s="10" t="s">
        <v>26</v>
      </c>
      <c r="K286" s="9">
        <v>2023</v>
      </c>
    </row>
    <row r="287" spans="1:11" x14ac:dyDescent="0.35">
      <c r="A287" s="14" t="s">
        <v>7</v>
      </c>
      <c r="B287" s="10" t="s">
        <v>6</v>
      </c>
      <c r="C287" s="10" t="s">
        <v>5</v>
      </c>
      <c r="D287" s="12">
        <v>1296</v>
      </c>
      <c r="E287" s="13">
        <v>12</v>
      </c>
      <c r="F287" s="12">
        <f t="shared" si="8"/>
        <v>15552</v>
      </c>
      <c r="G287" s="12">
        <v>6897</v>
      </c>
      <c r="H287" s="12">
        <f t="shared" si="9"/>
        <v>8655</v>
      </c>
      <c r="I287" s="11">
        <v>44835</v>
      </c>
      <c r="J287" s="10" t="s">
        <v>12</v>
      </c>
      <c r="K287" s="9">
        <v>2022</v>
      </c>
    </row>
    <row r="288" spans="1:11" x14ac:dyDescent="0.35">
      <c r="A288" s="14" t="s">
        <v>3</v>
      </c>
      <c r="B288" s="10" t="s">
        <v>2</v>
      </c>
      <c r="C288" s="10" t="s">
        <v>5</v>
      </c>
      <c r="D288" s="12">
        <v>775</v>
      </c>
      <c r="E288" s="13">
        <v>350</v>
      </c>
      <c r="F288" s="12">
        <f t="shared" si="8"/>
        <v>271250</v>
      </c>
      <c r="G288" s="12">
        <v>189020</v>
      </c>
      <c r="H288" s="12">
        <f t="shared" si="9"/>
        <v>82230</v>
      </c>
      <c r="I288" s="11">
        <v>44835</v>
      </c>
      <c r="J288" s="10" t="s">
        <v>12</v>
      </c>
      <c r="K288" s="9">
        <v>2022</v>
      </c>
    </row>
    <row r="289" spans="1:11" x14ac:dyDescent="0.35">
      <c r="A289" s="14" t="s">
        <v>7</v>
      </c>
      <c r="B289" s="10" t="s">
        <v>6</v>
      </c>
      <c r="C289" s="10" t="s">
        <v>21</v>
      </c>
      <c r="D289" s="12">
        <v>2417</v>
      </c>
      <c r="E289" s="13">
        <v>125</v>
      </c>
      <c r="F289" s="12">
        <f t="shared" si="8"/>
        <v>302125</v>
      </c>
      <c r="G289" s="12">
        <v>114240</v>
      </c>
      <c r="H289" s="12">
        <f t="shared" si="9"/>
        <v>187885</v>
      </c>
      <c r="I289" s="11">
        <v>44958</v>
      </c>
      <c r="J289" s="10" t="s">
        <v>8</v>
      </c>
      <c r="K289" s="9">
        <v>2023</v>
      </c>
    </row>
    <row r="290" spans="1:11" x14ac:dyDescent="0.35">
      <c r="A290" s="14" t="s">
        <v>3</v>
      </c>
      <c r="B290" s="10" t="s">
        <v>2</v>
      </c>
      <c r="C290" s="10" t="s">
        <v>21</v>
      </c>
      <c r="D290" s="12">
        <v>1158</v>
      </c>
      <c r="E290" s="13">
        <v>125</v>
      </c>
      <c r="F290" s="12">
        <f t="shared" si="8"/>
        <v>144750</v>
      </c>
      <c r="G290" s="12">
        <v>330600</v>
      </c>
      <c r="H290" s="12">
        <f t="shared" si="9"/>
        <v>-185850</v>
      </c>
      <c r="I290" s="11">
        <v>44958</v>
      </c>
      <c r="J290" s="10" t="s">
        <v>8</v>
      </c>
      <c r="K290" s="9">
        <v>2023</v>
      </c>
    </row>
    <row r="291" spans="1:11" x14ac:dyDescent="0.35">
      <c r="A291" s="14" t="s">
        <v>19</v>
      </c>
      <c r="B291" s="10" t="s">
        <v>6</v>
      </c>
      <c r="C291" s="10" t="s">
        <v>21</v>
      </c>
      <c r="D291" s="12">
        <v>803</v>
      </c>
      <c r="E291" s="13">
        <v>15</v>
      </c>
      <c r="F291" s="12">
        <f t="shared" si="8"/>
        <v>12045</v>
      </c>
      <c r="G291" s="12">
        <v>15300</v>
      </c>
      <c r="H291" s="12">
        <f t="shared" si="9"/>
        <v>-3255</v>
      </c>
      <c r="I291" s="11">
        <v>45047</v>
      </c>
      <c r="J291" s="10" t="s">
        <v>0</v>
      </c>
      <c r="K291" s="9">
        <v>2023</v>
      </c>
    </row>
    <row r="292" spans="1:11" x14ac:dyDescent="0.35">
      <c r="A292" s="14" t="s">
        <v>16</v>
      </c>
      <c r="B292" s="10" t="s">
        <v>15</v>
      </c>
      <c r="C292" s="10" t="s">
        <v>21</v>
      </c>
      <c r="D292" s="12">
        <v>3705</v>
      </c>
      <c r="E292" s="13">
        <v>350</v>
      </c>
      <c r="F292" s="12">
        <f t="shared" si="8"/>
        <v>1296750</v>
      </c>
      <c r="G292" s="12">
        <v>388960</v>
      </c>
      <c r="H292" s="12">
        <f t="shared" si="9"/>
        <v>907790</v>
      </c>
      <c r="I292" s="11">
        <v>45078</v>
      </c>
      <c r="J292" s="10" t="s">
        <v>26</v>
      </c>
      <c r="K292" s="9">
        <v>2023</v>
      </c>
    </row>
    <row r="293" spans="1:11" x14ac:dyDescent="0.35">
      <c r="A293" s="14" t="s">
        <v>11</v>
      </c>
      <c r="B293" s="10" t="s">
        <v>10</v>
      </c>
      <c r="C293" s="10" t="s">
        <v>21</v>
      </c>
      <c r="D293" s="12">
        <v>589</v>
      </c>
      <c r="E293" s="13">
        <v>7</v>
      </c>
      <c r="F293" s="12">
        <f t="shared" si="8"/>
        <v>4123</v>
      </c>
      <c r="G293" s="12">
        <v>7490</v>
      </c>
      <c r="H293" s="12">
        <f t="shared" si="9"/>
        <v>-3367</v>
      </c>
      <c r="I293" s="11">
        <v>45078</v>
      </c>
      <c r="J293" s="10" t="s">
        <v>26</v>
      </c>
      <c r="K293" s="9">
        <v>2023</v>
      </c>
    </row>
    <row r="294" spans="1:11" x14ac:dyDescent="0.35">
      <c r="A294" s="14" t="s">
        <v>16</v>
      </c>
      <c r="B294" s="10" t="s">
        <v>15</v>
      </c>
      <c r="C294" s="10" t="s">
        <v>21</v>
      </c>
      <c r="D294" s="12">
        <v>3797</v>
      </c>
      <c r="E294" s="13">
        <v>300</v>
      </c>
      <c r="F294" s="12">
        <f t="shared" si="8"/>
        <v>1139100</v>
      </c>
      <c r="G294" s="12">
        <v>305250</v>
      </c>
      <c r="H294" s="12">
        <f t="shared" si="9"/>
        <v>833850</v>
      </c>
      <c r="I294" s="11">
        <v>44835</v>
      </c>
      <c r="J294" s="10" t="s">
        <v>12</v>
      </c>
      <c r="K294" s="9">
        <v>2022</v>
      </c>
    </row>
    <row r="295" spans="1:11" x14ac:dyDescent="0.35">
      <c r="A295" s="14" t="s">
        <v>16</v>
      </c>
      <c r="B295" s="10" t="s">
        <v>15</v>
      </c>
      <c r="C295" s="10" t="s">
        <v>21</v>
      </c>
      <c r="D295" s="12">
        <v>1321</v>
      </c>
      <c r="E295" s="13">
        <v>350</v>
      </c>
      <c r="F295" s="12">
        <f t="shared" si="8"/>
        <v>462350</v>
      </c>
      <c r="G295" s="12">
        <v>539760</v>
      </c>
      <c r="H295" s="12">
        <f t="shared" si="9"/>
        <v>-77410</v>
      </c>
      <c r="I295" s="11">
        <v>44835</v>
      </c>
      <c r="J295" s="10" t="s">
        <v>12</v>
      </c>
      <c r="K295" s="9">
        <v>2022</v>
      </c>
    </row>
    <row r="296" spans="1:11" x14ac:dyDescent="0.35">
      <c r="A296" s="14" t="s">
        <v>7</v>
      </c>
      <c r="B296" s="10" t="s">
        <v>6</v>
      </c>
      <c r="C296" s="10" t="s">
        <v>1</v>
      </c>
      <c r="D296" s="12">
        <v>3999</v>
      </c>
      <c r="E296" s="13">
        <v>15</v>
      </c>
      <c r="F296" s="12">
        <f t="shared" si="8"/>
        <v>59985</v>
      </c>
      <c r="G296" s="12">
        <v>28440</v>
      </c>
      <c r="H296" s="12">
        <f t="shared" si="9"/>
        <v>31545</v>
      </c>
      <c r="I296" s="11">
        <v>45078</v>
      </c>
      <c r="J296" s="10" t="s">
        <v>26</v>
      </c>
      <c r="K296" s="9">
        <v>2023</v>
      </c>
    </row>
    <row r="297" spans="1:11" x14ac:dyDescent="0.35">
      <c r="A297" s="14" t="s">
        <v>11</v>
      </c>
      <c r="B297" s="10" t="s">
        <v>10</v>
      </c>
      <c r="C297" s="10" t="s">
        <v>1</v>
      </c>
      <c r="D297" s="12">
        <v>4256</v>
      </c>
      <c r="E297" s="13">
        <v>7</v>
      </c>
      <c r="F297" s="12">
        <f t="shared" si="8"/>
        <v>29792</v>
      </c>
      <c r="G297" s="12">
        <v>7490</v>
      </c>
      <c r="H297" s="12">
        <f t="shared" si="9"/>
        <v>22302</v>
      </c>
      <c r="I297" s="11">
        <v>45078</v>
      </c>
      <c r="J297" s="10" t="s">
        <v>26</v>
      </c>
      <c r="K297" s="9">
        <v>2023</v>
      </c>
    </row>
    <row r="298" spans="1:11" x14ac:dyDescent="0.35">
      <c r="A298" s="14" t="s">
        <v>16</v>
      </c>
      <c r="B298" s="10" t="s">
        <v>15</v>
      </c>
      <c r="C298" s="10" t="s">
        <v>1</v>
      </c>
      <c r="D298" s="12">
        <v>1643</v>
      </c>
      <c r="E298" s="13">
        <v>300</v>
      </c>
      <c r="F298" s="12">
        <f t="shared" si="8"/>
        <v>492900</v>
      </c>
      <c r="G298" s="12">
        <v>305250</v>
      </c>
      <c r="H298" s="12">
        <f t="shared" si="9"/>
        <v>187650</v>
      </c>
      <c r="I298" s="11">
        <v>44835</v>
      </c>
      <c r="J298" s="10" t="s">
        <v>12</v>
      </c>
      <c r="K298" s="9">
        <v>2022</v>
      </c>
    </row>
    <row r="299" spans="1:11" x14ac:dyDescent="0.35">
      <c r="A299" s="14" t="s">
        <v>11</v>
      </c>
      <c r="B299" s="10" t="s">
        <v>10</v>
      </c>
      <c r="C299" s="10" t="s">
        <v>1</v>
      </c>
      <c r="D299" s="12">
        <v>1912</v>
      </c>
      <c r="E299" s="13">
        <v>20</v>
      </c>
      <c r="F299" s="12">
        <f t="shared" si="8"/>
        <v>38240</v>
      </c>
      <c r="G299" s="12">
        <v>11230</v>
      </c>
      <c r="H299" s="12">
        <f t="shared" si="9"/>
        <v>27010</v>
      </c>
      <c r="I299" s="11">
        <v>44866</v>
      </c>
      <c r="J299" s="10" t="s">
        <v>18</v>
      </c>
      <c r="K299" s="9">
        <v>2022</v>
      </c>
    </row>
    <row r="300" spans="1:11" x14ac:dyDescent="0.35">
      <c r="A300" s="14" t="s">
        <v>7</v>
      </c>
      <c r="B300" s="10" t="s">
        <v>6</v>
      </c>
      <c r="C300" s="10" t="s">
        <v>1</v>
      </c>
      <c r="D300" s="12">
        <v>1610</v>
      </c>
      <c r="E300" s="13">
        <v>300</v>
      </c>
      <c r="F300" s="12">
        <f t="shared" si="8"/>
        <v>483000</v>
      </c>
      <c r="G300" s="12">
        <v>609000</v>
      </c>
      <c r="H300" s="12">
        <f t="shared" si="9"/>
        <v>-126000</v>
      </c>
      <c r="I300" s="11">
        <v>44896</v>
      </c>
      <c r="J300" s="10" t="s">
        <v>17</v>
      </c>
      <c r="K300" s="9">
        <v>2022</v>
      </c>
    </row>
    <row r="301" spans="1:11" x14ac:dyDescent="0.35">
      <c r="A301" s="14" t="s">
        <v>16</v>
      </c>
      <c r="B301" s="10" t="s">
        <v>15</v>
      </c>
      <c r="C301" s="10" t="s">
        <v>13</v>
      </c>
      <c r="D301" s="12">
        <v>2160</v>
      </c>
      <c r="E301" s="13">
        <v>125</v>
      </c>
      <c r="F301" s="12">
        <f t="shared" si="8"/>
        <v>270000</v>
      </c>
      <c r="G301" s="12">
        <v>238500</v>
      </c>
      <c r="H301" s="12">
        <f t="shared" si="9"/>
        <v>31500</v>
      </c>
      <c r="I301" s="11">
        <v>44927</v>
      </c>
      <c r="J301" s="10" t="s">
        <v>25</v>
      </c>
      <c r="K301" s="9">
        <v>2023</v>
      </c>
    </row>
    <row r="302" spans="1:11" x14ac:dyDescent="0.35">
      <c r="A302" s="14" t="s">
        <v>11</v>
      </c>
      <c r="B302" s="10" t="s">
        <v>10</v>
      </c>
      <c r="C302" s="10" t="s">
        <v>13</v>
      </c>
      <c r="D302" s="12">
        <v>466</v>
      </c>
      <c r="E302" s="13">
        <v>350</v>
      </c>
      <c r="F302" s="12">
        <f t="shared" si="8"/>
        <v>163100</v>
      </c>
      <c r="G302" s="12">
        <v>436540</v>
      </c>
      <c r="H302" s="12">
        <f t="shared" si="9"/>
        <v>-273440</v>
      </c>
      <c r="I302" s="11">
        <v>45170</v>
      </c>
      <c r="J302" s="10" t="s">
        <v>22</v>
      </c>
      <c r="K302" s="9">
        <v>2023</v>
      </c>
    </row>
    <row r="303" spans="1:11" x14ac:dyDescent="0.35">
      <c r="A303" s="14" t="s">
        <v>3</v>
      </c>
      <c r="B303" s="10" t="s">
        <v>2</v>
      </c>
      <c r="C303" s="10" t="s">
        <v>13</v>
      </c>
      <c r="D303" s="12">
        <v>328</v>
      </c>
      <c r="E303" s="13">
        <v>350</v>
      </c>
      <c r="F303" s="12">
        <f t="shared" si="8"/>
        <v>114800</v>
      </c>
      <c r="G303" s="12">
        <v>189020</v>
      </c>
      <c r="H303" s="12">
        <f t="shared" si="9"/>
        <v>-74220</v>
      </c>
      <c r="I303" s="11">
        <v>44835</v>
      </c>
      <c r="J303" s="10" t="s">
        <v>12</v>
      </c>
      <c r="K303" s="9">
        <v>2022</v>
      </c>
    </row>
    <row r="304" spans="1:11" x14ac:dyDescent="0.35">
      <c r="A304" s="14" t="s">
        <v>16</v>
      </c>
      <c r="B304" s="10" t="s">
        <v>15</v>
      </c>
      <c r="C304" s="10" t="s">
        <v>13</v>
      </c>
      <c r="D304" s="12">
        <v>4099</v>
      </c>
      <c r="E304" s="13">
        <v>7</v>
      </c>
      <c r="F304" s="12">
        <f t="shared" si="8"/>
        <v>28693</v>
      </c>
      <c r="G304" s="12">
        <v>7015</v>
      </c>
      <c r="H304" s="12">
        <f t="shared" si="9"/>
        <v>21678</v>
      </c>
      <c r="I304" s="11">
        <v>44835</v>
      </c>
      <c r="J304" s="10" t="s">
        <v>12</v>
      </c>
      <c r="K304" s="9">
        <v>2022</v>
      </c>
    </row>
    <row r="305" spans="1:11" x14ac:dyDescent="0.35">
      <c r="A305" s="14" t="s">
        <v>16</v>
      </c>
      <c r="B305" s="10" t="s">
        <v>15</v>
      </c>
      <c r="C305" s="10" t="s">
        <v>13</v>
      </c>
      <c r="D305" s="12">
        <v>990</v>
      </c>
      <c r="E305" s="13">
        <v>350</v>
      </c>
      <c r="F305" s="12">
        <f t="shared" si="8"/>
        <v>346500</v>
      </c>
      <c r="G305" s="12">
        <v>539760</v>
      </c>
      <c r="H305" s="12">
        <f t="shared" si="9"/>
        <v>-193260</v>
      </c>
      <c r="I305" s="11">
        <v>44835</v>
      </c>
      <c r="J305" s="10" t="s">
        <v>12</v>
      </c>
      <c r="K305" s="9">
        <v>2022</v>
      </c>
    </row>
    <row r="306" spans="1:11" x14ac:dyDescent="0.35">
      <c r="A306" s="14" t="s">
        <v>16</v>
      </c>
      <c r="B306" s="10" t="s">
        <v>15</v>
      </c>
      <c r="C306" s="10" t="s">
        <v>9</v>
      </c>
      <c r="D306" s="12">
        <v>1433</v>
      </c>
      <c r="E306" s="13">
        <v>20</v>
      </c>
      <c r="F306" s="12">
        <f t="shared" si="8"/>
        <v>28660</v>
      </c>
      <c r="G306" s="12">
        <v>17570</v>
      </c>
      <c r="H306" s="12">
        <f t="shared" si="9"/>
        <v>11090</v>
      </c>
      <c r="I306" s="11">
        <v>44835</v>
      </c>
      <c r="J306" s="10" t="s">
        <v>12</v>
      </c>
      <c r="K306" s="9">
        <v>2022</v>
      </c>
    </row>
    <row r="307" spans="1:11" x14ac:dyDescent="0.35">
      <c r="A307" s="14" t="s">
        <v>3</v>
      </c>
      <c r="B307" s="10" t="s">
        <v>2</v>
      </c>
      <c r="C307" s="10" t="s">
        <v>5</v>
      </c>
      <c r="D307" s="12">
        <v>1478</v>
      </c>
      <c r="E307" s="13">
        <v>15</v>
      </c>
      <c r="F307" s="12">
        <f t="shared" si="8"/>
        <v>22170</v>
      </c>
      <c r="G307" s="12">
        <v>21980</v>
      </c>
      <c r="H307" s="12">
        <f t="shared" si="9"/>
        <v>190</v>
      </c>
      <c r="I307" s="11">
        <v>45139</v>
      </c>
      <c r="J307" s="10" t="s">
        <v>23</v>
      </c>
      <c r="K307" s="9">
        <v>2023</v>
      </c>
    </row>
    <row r="308" spans="1:11" x14ac:dyDescent="0.35">
      <c r="A308" s="14" t="s">
        <v>19</v>
      </c>
      <c r="B308" s="10" t="s">
        <v>6</v>
      </c>
      <c r="C308" s="10" t="s">
        <v>5</v>
      </c>
      <c r="D308" s="12">
        <v>3798</v>
      </c>
      <c r="E308" s="13">
        <v>15</v>
      </c>
      <c r="F308" s="12">
        <f t="shared" si="8"/>
        <v>56970</v>
      </c>
      <c r="G308" s="12">
        <v>17430</v>
      </c>
      <c r="H308" s="12">
        <f t="shared" si="9"/>
        <v>39540</v>
      </c>
      <c r="I308" s="11">
        <v>45139</v>
      </c>
      <c r="J308" s="10" t="s">
        <v>23</v>
      </c>
      <c r="K308" s="9">
        <v>2023</v>
      </c>
    </row>
    <row r="309" spans="1:11" x14ac:dyDescent="0.35">
      <c r="A309" s="14" t="s">
        <v>3</v>
      </c>
      <c r="B309" s="10" t="s">
        <v>2</v>
      </c>
      <c r="C309" s="10" t="s">
        <v>5</v>
      </c>
      <c r="D309" s="12">
        <v>447</v>
      </c>
      <c r="E309" s="13">
        <v>15</v>
      </c>
      <c r="F309" s="12">
        <f t="shared" si="8"/>
        <v>6705</v>
      </c>
      <c r="G309" s="12">
        <v>11530</v>
      </c>
      <c r="H309" s="12">
        <f t="shared" si="9"/>
        <v>-4825</v>
      </c>
      <c r="I309" s="11">
        <v>45200</v>
      </c>
      <c r="J309" s="10" t="s">
        <v>12</v>
      </c>
      <c r="K309" s="9">
        <v>2023</v>
      </c>
    </row>
    <row r="310" spans="1:11" x14ac:dyDescent="0.35">
      <c r="A310" s="14" t="s">
        <v>16</v>
      </c>
      <c r="B310" s="10" t="s">
        <v>15</v>
      </c>
      <c r="C310" s="10" t="s">
        <v>5</v>
      </c>
      <c r="D310" s="12">
        <v>1711</v>
      </c>
      <c r="E310" s="13">
        <v>20</v>
      </c>
      <c r="F310" s="12">
        <f t="shared" si="8"/>
        <v>34220</v>
      </c>
      <c r="G310" s="12">
        <v>17570</v>
      </c>
      <c r="H310" s="12">
        <f t="shared" si="9"/>
        <v>16650</v>
      </c>
      <c r="I310" s="11">
        <v>44835</v>
      </c>
      <c r="J310" s="10" t="s">
        <v>12</v>
      </c>
      <c r="K310" s="9">
        <v>2022</v>
      </c>
    </row>
    <row r="311" spans="1:11" x14ac:dyDescent="0.35">
      <c r="A311" s="14" t="s">
        <v>19</v>
      </c>
      <c r="B311" s="10" t="s">
        <v>6</v>
      </c>
      <c r="C311" s="10" t="s">
        <v>21</v>
      </c>
      <c r="D311" s="12">
        <v>745</v>
      </c>
      <c r="E311" s="13">
        <v>20</v>
      </c>
      <c r="F311" s="12">
        <f t="shared" si="8"/>
        <v>14900</v>
      </c>
      <c r="G311" s="12">
        <v>10010</v>
      </c>
      <c r="H311" s="12">
        <f t="shared" si="9"/>
        <v>4890</v>
      </c>
      <c r="I311" s="11">
        <v>45139</v>
      </c>
      <c r="J311" s="10" t="s">
        <v>23</v>
      </c>
      <c r="K311" s="9">
        <v>2023</v>
      </c>
    </row>
    <row r="312" spans="1:11" x14ac:dyDescent="0.35">
      <c r="A312" s="14" t="s">
        <v>11</v>
      </c>
      <c r="B312" s="10" t="s">
        <v>10</v>
      </c>
      <c r="C312" s="10" t="s">
        <v>21</v>
      </c>
      <c r="D312" s="12">
        <v>1732</v>
      </c>
      <c r="E312" s="13">
        <v>7</v>
      </c>
      <c r="F312" s="12">
        <f t="shared" si="8"/>
        <v>12124</v>
      </c>
      <c r="G312" s="12">
        <v>6665</v>
      </c>
      <c r="H312" s="12">
        <f t="shared" si="9"/>
        <v>5459</v>
      </c>
      <c r="I312" s="11">
        <v>45231</v>
      </c>
      <c r="J312" s="10" t="s">
        <v>18</v>
      </c>
      <c r="K312" s="9">
        <v>2023</v>
      </c>
    </row>
    <row r="313" spans="1:11" x14ac:dyDescent="0.35">
      <c r="A313" s="14" t="s">
        <v>3</v>
      </c>
      <c r="B313" s="10" t="s">
        <v>2</v>
      </c>
      <c r="C313" s="10" t="s">
        <v>1</v>
      </c>
      <c r="D313" s="12">
        <v>1759</v>
      </c>
      <c r="E313" s="13">
        <v>15</v>
      </c>
      <c r="F313" s="12">
        <f t="shared" si="8"/>
        <v>26385</v>
      </c>
      <c r="G313" s="12">
        <v>11530</v>
      </c>
      <c r="H313" s="12">
        <f t="shared" si="9"/>
        <v>14855</v>
      </c>
      <c r="I313" s="11">
        <v>45200</v>
      </c>
      <c r="J313" s="10" t="s">
        <v>12</v>
      </c>
      <c r="K313" s="9">
        <v>2023</v>
      </c>
    </row>
    <row r="314" spans="1:11" x14ac:dyDescent="0.35">
      <c r="A314" s="14" t="s">
        <v>11</v>
      </c>
      <c r="B314" s="10" t="s">
        <v>10</v>
      </c>
      <c r="C314" s="10" t="s">
        <v>24</v>
      </c>
      <c r="D314" s="12">
        <v>338</v>
      </c>
      <c r="E314" s="13">
        <v>12</v>
      </c>
      <c r="F314" s="12">
        <f t="shared" si="8"/>
        <v>4056</v>
      </c>
      <c r="G314" s="12">
        <v>2181</v>
      </c>
      <c r="H314" s="12">
        <f t="shared" si="9"/>
        <v>1875</v>
      </c>
      <c r="I314" s="11">
        <v>44958</v>
      </c>
      <c r="J314" s="10" t="s">
        <v>8</v>
      </c>
      <c r="K314" s="9">
        <v>2023</v>
      </c>
    </row>
    <row r="315" spans="1:11" x14ac:dyDescent="0.35">
      <c r="A315" s="14" t="s">
        <v>7</v>
      </c>
      <c r="B315" s="10" t="s">
        <v>6</v>
      </c>
      <c r="C315" s="10" t="s">
        <v>24</v>
      </c>
      <c r="D315" s="12">
        <v>3911</v>
      </c>
      <c r="E315" s="13">
        <v>12</v>
      </c>
      <c r="F315" s="12">
        <f t="shared" si="8"/>
        <v>46932</v>
      </c>
      <c r="G315" s="12">
        <v>5652</v>
      </c>
      <c r="H315" s="12">
        <f t="shared" si="9"/>
        <v>41280</v>
      </c>
      <c r="I315" s="11">
        <v>45139</v>
      </c>
      <c r="J315" s="10" t="s">
        <v>23</v>
      </c>
      <c r="K315" s="9">
        <v>2023</v>
      </c>
    </row>
    <row r="316" spans="1:11" x14ac:dyDescent="0.35">
      <c r="A316" s="14" t="s">
        <v>11</v>
      </c>
      <c r="B316" s="10" t="s">
        <v>10</v>
      </c>
      <c r="C316" s="10" t="s">
        <v>24</v>
      </c>
      <c r="D316" s="12">
        <v>3691</v>
      </c>
      <c r="E316" s="13">
        <v>20</v>
      </c>
      <c r="F316" s="12">
        <f t="shared" si="8"/>
        <v>73820</v>
      </c>
      <c r="G316" s="12">
        <v>18340</v>
      </c>
      <c r="H316" s="12">
        <f t="shared" si="9"/>
        <v>55480</v>
      </c>
      <c r="I316" s="11">
        <v>44805</v>
      </c>
      <c r="J316" s="10" t="s">
        <v>22</v>
      </c>
      <c r="K316" s="9">
        <v>2022</v>
      </c>
    </row>
    <row r="317" spans="1:11" x14ac:dyDescent="0.35">
      <c r="A317" s="14" t="s">
        <v>11</v>
      </c>
      <c r="B317" s="10" t="s">
        <v>10</v>
      </c>
      <c r="C317" s="10" t="s">
        <v>9</v>
      </c>
      <c r="D317" s="12">
        <v>4473</v>
      </c>
      <c r="E317" s="13">
        <v>12</v>
      </c>
      <c r="F317" s="12">
        <f t="shared" si="8"/>
        <v>53676</v>
      </c>
      <c r="G317" s="12">
        <v>7020</v>
      </c>
      <c r="H317" s="12">
        <f t="shared" si="9"/>
        <v>46656</v>
      </c>
      <c r="I317" s="11">
        <v>44927</v>
      </c>
      <c r="J317" s="10" t="s">
        <v>25</v>
      </c>
      <c r="K317" s="9">
        <v>2023</v>
      </c>
    </row>
    <row r="318" spans="1:11" x14ac:dyDescent="0.35">
      <c r="A318" s="14" t="s">
        <v>16</v>
      </c>
      <c r="B318" s="10" t="s">
        <v>15</v>
      </c>
      <c r="C318" s="10" t="s">
        <v>9</v>
      </c>
      <c r="D318" s="12">
        <v>383</v>
      </c>
      <c r="E318" s="13">
        <v>12</v>
      </c>
      <c r="F318" s="12">
        <f t="shared" si="8"/>
        <v>4596</v>
      </c>
      <c r="G318" s="12">
        <v>7026</v>
      </c>
      <c r="H318" s="12">
        <f t="shared" si="9"/>
        <v>-2430</v>
      </c>
      <c r="I318" s="11">
        <v>45231</v>
      </c>
      <c r="J318" s="10" t="s">
        <v>18</v>
      </c>
      <c r="K318" s="9">
        <v>2023</v>
      </c>
    </row>
    <row r="319" spans="1:11" x14ac:dyDescent="0.35">
      <c r="A319" s="14" t="s">
        <v>16</v>
      </c>
      <c r="B319" s="10" t="s">
        <v>15</v>
      </c>
      <c r="C319" s="10" t="s">
        <v>5</v>
      </c>
      <c r="D319" s="12">
        <v>3105</v>
      </c>
      <c r="E319" s="13">
        <v>7</v>
      </c>
      <c r="F319" s="12">
        <f t="shared" si="8"/>
        <v>21735</v>
      </c>
      <c r="G319" s="12">
        <v>5155</v>
      </c>
      <c r="H319" s="12">
        <f t="shared" si="9"/>
        <v>16580</v>
      </c>
      <c r="I319" s="11">
        <v>44805</v>
      </c>
      <c r="J319" s="10" t="s">
        <v>22</v>
      </c>
      <c r="K319" s="9">
        <v>2022</v>
      </c>
    </row>
    <row r="320" spans="1:11" x14ac:dyDescent="0.35">
      <c r="A320" s="14" t="s">
        <v>7</v>
      </c>
      <c r="B320" s="10" t="s">
        <v>6</v>
      </c>
      <c r="C320" s="10" t="s">
        <v>21</v>
      </c>
      <c r="D320" s="12">
        <v>1062</v>
      </c>
      <c r="E320" s="13">
        <v>15</v>
      </c>
      <c r="F320" s="12">
        <f t="shared" si="8"/>
        <v>15930</v>
      </c>
      <c r="G320" s="12">
        <v>12620</v>
      </c>
      <c r="H320" s="12">
        <f t="shared" si="9"/>
        <v>3310</v>
      </c>
      <c r="I320" s="11">
        <v>45047</v>
      </c>
      <c r="J320" s="10" t="s">
        <v>0</v>
      </c>
      <c r="K320" s="9">
        <v>2023</v>
      </c>
    </row>
    <row r="321" spans="1:11" x14ac:dyDescent="0.35">
      <c r="A321" s="14" t="s">
        <v>7</v>
      </c>
      <c r="B321" s="10" t="s">
        <v>6</v>
      </c>
      <c r="C321" s="10" t="s">
        <v>21</v>
      </c>
      <c r="D321" s="12">
        <v>4083</v>
      </c>
      <c r="E321" s="13">
        <v>7</v>
      </c>
      <c r="F321" s="12">
        <f t="shared" si="8"/>
        <v>28581</v>
      </c>
      <c r="G321" s="12">
        <v>5675</v>
      </c>
      <c r="H321" s="12">
        <f t="shared" si="9"/>
        <v>22906</v>
      </c>
      <c r="I321" s="11">
        <v>45078</v>
      </c>
      <c r="J321" s="10" t="s">
        <v>26</v>
      </c>
      <c r="K321" s="9">
        <v>2023</v>
      </c>
    </row>
    <row r="322" spans="1:11" x14ac:dyDescent="0.35">
      <c r="A322" s="14" t="s">
        <v>3</v>
      </c>
      <c r="B322" s="10" t="s">
        <v>2</v>
      </c>
      <c r="C322" s="10" t="s">
        <v>21</v>
      </c>
      <c r="D322" s="12">
        <v>3974</v>
      </c>
      <c r="E322" s="13">
        <v>7</v>
      </c>
      <c r="F322" s="12">
        <f t="shared" ref="F322:F385" si="10">SUM(D322*E322)</f>
        <v>27818</v>
      </c>
      <c r="G322" s="12">
        <v>2735</v>
      </c>
      <c r="H322" s="12">
        <f t="shared" ref="H322:H385" si="11">F322-G322</f>
        <v>25083</v>
      </c>
      <c r="I322" s="11">
        <v>45231</v>
      </c>
      <c r="J322" s="10" t="s">
        <v>18</v>
      </c>
      <c r="K322" s="9">
        <v>2023</v>
      </c>
    </row>
    <row r="323" spans="1:11" x14ac:dyDescent="0.35">
      <c r="A323" s="14" t="s">
        <v>7</v>
      </c>
      <c r="B323" s="10" t="s">
        <v>6</v>
      </c>
      <c r="C323" s="10" t="s">
        <v>21</v>
      </c>
      <c r="D323" s="12">
        <v>3723</v>
      </c>
      <c r="E323" s="13">
        <v>7</v>
      </c>
      <c r="F323" s="12">
        <f t="shared" si="10"/>
        <v>26061</v>
      </c>
      <c r="G323" s="12">
        <v>7910</v>
      </c>
      <c r="H323" s="12">
        <f t="shared" si="11"/>
        <v>18151</v>
      </c>
      <c r="I323" s="11">
        <v>45261</v>
      </c>
      <c r="J323" s="10" t="s">
        <v>17</v>
      </c>
      <c r="K323" s="9">
        <v>2023</v>
      </c>
    </row>
    <row r="324" spans="1:11" x14ac:dyDescent="0.35">
      <c r="A324" s="14" t="s">
        <v>16</v>
      </c>
      <c r="B324" s="10" t="s">
        <v>15</v>
      </c>
      <c r="C324" s="10" t="s">
        <v>1</v>
      </c>
      <c r="D324" s="12">
        <v>2435</v>
      </c>
      <c r="E324" s="13">
        <v>12</v>
      </c>
      <c r="F324" s="12">
        <f t="shared" si="10"/>
        <v>29220</v>
      </c>
      <c r="G324" s="12">
        <v>5215.5</v>
      </c>
      <c r="H324" s="12">
        <f t="shared" si="11"/>
        <v>24004.5</v>
      </c>
      <c r="I324" s="11">
        <v>45017</v>
      </c>
      <c r="J324" s="10" t="s">
        <v>4</v>
      </c>
      <c r="K324" s="9">
        <v>2023</v>
      </c>
    </row>
    <row r="325" spans="1:11" x14ac:dyDescent="0.35">
      <c r="A325" s="14" t="s">
        <v>19</v>
      </c>
      <c r="B325" s="10" t="s">
        <v>6</v>
      </c>
      <c r="C325" s="10" t="s">
        <v>1</v>
      </c>
      <c r="D325" s="12">
        <v>1678</v>
      </c>
      <c r="E325" s="13">
        <v>12</v>
      </c>
      <c r="F325" s="12">
        <f t="shared" si="10"/>
        <v>20136</v>
      </c>
      <c r="G325" s="12">
        <v>6645</v>
      </c>
      <c r="H325" s="12">
        <f t="shared" si="11"/>
        <v>13491</v>
      </c>
      <c r="I325" s="11">
        <v>44805</v>
      </c>
      <c r="J325" s="10" t="s">
        <v>22</v>
      </c>
      <c r="K325" s="9">
        <v>2022</v>
      </c>
    </row>
    <row r="326" spans="1:11" x14ac:dyDescent="0.35">
      <c r="A326" s="14" t="s">
        <v>7</v>
      </c>
      <c r="B326" s="10" t="s">
        <v>6</v>
      </c>
      <c r="C326" s="10" t="s">
        <v>1</v>
      </c>
      <c r="D326" s="12">
        <v>1763</v>
      </c>
      <c r="E326" s="13">
        <v>7</v>
      </c>
      <c r="F326" s="12">
        <f t="shared" si="10"/>
        <v>12341</v>
      </c>
      <c r="G326" s="12">
        <v>7910</v>
      </c>
      <c r="H326" s="12">
        <f t="shared" si="11"/>
        <v>4431</v>
      </c>
      <c r="I326" s="11">
        <v>45261</v>
      </c>
      <c r="J326" s="10" t="s">
        <v>17</v>
      </c>
      <c r="K326" s="9">
        <v>2023</v>
      </c>
    </row>
    <row r="327" spans="1:11" x14ac:dyDescent="0.35">
      <c r="A327" s="14" t="s">
        <v>7</v>
      </c>
      <c r="B327" s="10" t="s">
        <v>6</v>
      </c>
      <c r="C327" s="10" t="s">
        <v>13</v>
      </c>
      <c r="D327" s="12">
        <v>4473</v>
      </c>
      <c r="E327" s="13">
        <v>7</v>
      </c>
      <c r="F327" s="12">
        <f t="shared" si="10"/>
        <v>31311</v>
      </c>
      <c r="G327" s="12">
        <v>5675</v>
      </c>
      <c r="H327" s="12">
        <f t="shared" si="11"/>
        <v>25636</v>
      </c>
      <c r="I327" s="11">
        <v>45078</v>
      </c>
      <c r="J327" s="10" t="s">
        <v>26</v>
      </c>
      <c r="K327" s="9">
        <v>2023</v>
      </c>
    </row>
    <row r="328" spans="1:11" x14ac:dyDescent="0.35">
      <c r="A328" s="14" t="s">
        <v>3</v>
      </c>
      <c r="B328" s="10" t="s">
        <v>2</v>
      </c>
      <c r="C328" s="10" t="s">
        <v>24</v>
      </c>
      <c r="D328" s="12">
        <v>1246</v>
      </c>
      <c r="E328" s="13">
        <v>350</v>
      </c>
      <c r="F328" s="12">
        <f t="shared" si="10"/>
        <v>436100</v>
      </c>
      <c r="G328" s="12">
        <v>457860</v>
      </c>
      <c r="H328" s="12">
        <f t="shared" si="11"/>
        <v>-21760</v>
      </c>
      <c r="I328" s="11">
        <v>44986</v>
      </c>
      <c r="J328" s="10" t="s">
        <v>14</v>
      </c>
      <c r="K328" s="9">
        <v>2023</v>
      </c>
    </row>
    <row r="329" spans="1:11" x14ac:dyDescent="0.35">
      <c r="A329" s="14" t="s">
        <v>16</v>
      </c>
      <c r="B329" s="10" t="s">
        <v>15</v>
      </c>
      <c r="C329" s="10" t="s">
        <v>24</v>
      </c>
      <c r="D329" s="12">
        <v>1615</v>
      </c>
      <c r="E329" s="13">
        <v>300</v>
      </c>
      <c r="F329" s="12">
        <f t="shared" si="10"/>
        <v>484500</v>
      </c>
      <c r="G329" s="12">
        <v>112000</v>
      </c>
      <c r="H329" s="12">
        <f t="shared" si="11"/>
        <v>372500</v>
      </c>
      <c r="I329" s="11">
        <v>45078</v>
      </c>
      <c r="J329" s="10" t="s">
        <v>26</v>
      </c>
      <c r="K329" s="9">
        <v>2023</v>
      </c>
    </row>
    <row r="330" spans="1:11" x14ac:dyDescent="0.35">
      <c r="A330" s="14" t="s">
        <v>16</v>
      </c>
      <c r="B330" s="10" t="s">
        <v>15</v>
      </c>
      <c r="C330" s="10" t="s">
        <v>24</v>
      </c>
      <c r="D330" s="12">
        <v>749</v>
      </c>
      <c r="E330" s="13">
        <v>300</v>
      </c>
      <c r="F330" s="12">
        <f t="shared" si="10"/>
        <v>224700</v>
      </c>
      <c r="G330" s="12">
        <v>545250</v>
      </c>
      <c r="H330" s="12">
        <f t="shared" si="11"/>
        <v>-320550</v>
      </c>
      <c r="I330" s="11">
        <v>45200</v>
      </c>
      <c r="J330" s="10" t="s">
        <v>12</v>
      </c>
      <c r="K330" s="9">
        <v>2023</v>
      </c>
    </row>
    <row r="331" spans="1:11" x14ac:dyDescent="0.35">
      <c r="A331" s="14" t="s">
        <v>16</v>
      </c>
      <c r="B331" s="10" t="s">
        <v>15</v>
      </c>
      <c r="C331" s="10" t="s">
        <v>9</v>
      </c>
      <c r="D331" s="12">
        <v>1318</v>
      </c>
      <c r="E331" s="13">
        <v>20</v>
      </c>
      <c r="F331" s="12">
        <f t="shared" si="10"/>
        <v>26360</v>
      </c>
      <c r="G331" s="12">
        <v>19760</v>
      </c>
      <c r="H331" s="12">
        <f t="shared" si="11"/>
        <v>6600</v>
      </c>
      <c r="I331" s="11">
        <v>45200</v>
      </c>
      <c r="J331" s="10" t="s">
        <v>12</v>
      </c>
      <c r="K331" s="9">
        <v>2023</v>
      </c>
    </row>
    <row r="332" spans="1:11" x14ac:dyDescent="0.35">
      <c r="A332" s="14" t="s">
        <v>16</v>
      </c>
      <c r="B332" s="10" t="s">
        <v>15</v>
      </c>
      <c r="C332" s="10" t="s">
        <v>9</v>
      </c>
      <c r="D332" s="12">
        <v>2882</v>
      </c>
      <c r="E332" s="13">
        <v>300</v>
      </c>
      <c r="F332" s="12">
        <f t="shared" si="10"/>
        <v>864600</v>
      </c>
      <c r="G332" s="12">
        <v>545250</v>
      </c>
      <c r="H332" s="12">
        <f t="shared" si="11"/>
        <v>319350</v>
      </c>
      <c r="I332" s="11">
        <v>45200</v>
      </c>
      <c r="J332" s="10" t="s">
        <v>12</v>
      </c>
      <c r="K332" s="9">
        <v>2023</v>
      </c>
    </row>
    <row r="333" spans="1:11" x14ac:dyDescent="0.35">
      <c r="A333" s="14" t="s">
        <v>19</v>
      </c>
      <c r="B333" s="10" t="s">
        <v>6</v>
      </c>
      <c r="C333" s="10" t="s">
        <v>9</v>
      </c>
      <c r="D333" s="12">
        <v>3039</v>
      </c>
      <c r="E333" s="13">
        <v>125</v>
      </c>
      <c r="F333" s="12">
        <f t="shared" si="10"/>
        <v>379875</v>
      </c>
      <c r="G333" s="12">
        <v>300000</v>
      </c>
      <c r="H333" s="12">
        <f t="shared" si="11"/>
        <v>79875</v>
      </c>
      <c r="I333" s="11">
        <v>44866</v>
      </c>
      <c r="J333" s="10" t="s">
        <v>18</v>
      </c>
      <c r="K333" s="9">
        <v>2022</v>
      </c>
    </row>
    <row r="334" spans="1:11" x14ac:dyDescent="0.35">
      <c r="A334" s="14" t="s">
        <v>7</v>
      </c>
      <c r="B334" s="10" t="s">
        <v>6</v>
      </c>
      <c r="C334" s="10" t="s">
        <v>5</v>
      </c>
      <c r="D334" s="12">
        <v>2484</v>
      </c>
      <c r="E334" s="13">
        <v>300</v>
      </c>
      <c r="F334" s="12">
        <f t="shared" si="10"/>
        <v>745200</v>
      </c>
      <c r="G334" s="12">
        <v>425500</v>
      </c>
      <c r="H334" s="12">
        <f t="shared" si="11"/>
        <v>319700</v>
      </c>
      <c r="I334" s="11">
        <v>45047</v>
      </c>
      <c r="J334" s="10" t="s">
        <v>0</v>
      </c>
      <c r="K334" s="9">
        <v>2023</v>
      </c>
    </row>
    <row r="335" spans="1:11" x14ac:dyDescent="0.35">
      <c r="A335" s="14" t="s">
        <v>16</v>
      </c>
      <c r="B335" s="10" t="s">
        <v>15</v>
      </c>
      <c r="C335" s="10" t="s">
        <v>5</v>
      </c>
      <c r="D335" s="12">
        <v>3169</v>
      </c>
      <c r="E335" s="13">
        <v>300</v>
      </c>
      <c r="F335" s="12">
        <f t="shared" si="10"/>
        <v>950700</v>
      </c>
      <c r="G335" s="12">
        <v>112000</v>
      </c>
      <c r="H335" s="12">
        <f t="shared" si="11"/>
        <v>838700</v>
      </c>
      <c r="I335" s="11">
        <v>45078</v>
      </c>
      <c r="J335" s="10" t="s">
        <v>26</v>
      </c>
      <c r="K335" s="9">
        <v>2023</v>
      </c>
    </row>
    <row r="336" spans="1:11" x14ac:dyDescent="0.35">
      <c r="A336" s="14" t="s">
        <v>19</v>
      </c>
      <c r="B336" s="10" t="s">
        <v>6</v>
      </c>
      <c r="C336" s="10" t="s">
        <v>5</v>
      </c>
      <c r="D336" s="12">
        <v>4080</v>
      </c>
      <c r="E336" s="13">
        <v>125</v>
      </c>
      <c r="F336" s="12">
        <f t="shared" si="10"/>
        <v>510000</v>
      </c>
      <c r="G336" s="12">
        <v>421560</v>
      </c>
      <c r="H336" s="12">
        <f t="shared" si="11"/>
        <v>88440</v>
      </c>
      <c r="I336" s="11">
        <v>45108</v>
      </c>
      <c r="J336" s="10" t="s">
        <v>20</v>
      </c>
      <c r="K336" s="9">
        <v>2023</v>
      </c>
    </row>
    <row r="337" spans="1:11" x14ac:dyDescent="0.35">
      <c r="A337" s="14" t="s">
        <v>16</v>
      </c>
      <c r="B337" s="10" t="s">
        <v>15</v>
      </c>
      <c r="C337" s="10" t="s">
        <v>5</v>
      </c>
      <c r="D337" s="12">
        <v>3943</v>
      </c>
      <c r="E337" s="13">
        <v>15</v>
      </c>
      <c r="F337" s="12">
        <f t="shared" si="10"/>
        <v>59145</v>
      </c>
      <c r="G337" s="12">
        <v>21010</v>
      </c>
      <c r="H337" s="12">
        <f t="shared" si="11"/>
        <v>38135</v>
      </c>
      <c r="I337" s="11">
        <v>45139</v>
      </c>
      <c r="J337" s="10" t="s">
        <v>23</v>
      </c>
      <c r="K337" s="9">
        <v>2023</v>
      </c>
    </row>
    <row r="338" spans="1:11" x14ac:dyDescent="0.35">
      <c r="A338" s="14" t="s">
        <v>3</v>
      </c>
      <c r="B338" s="10" t="s">
        <v>2</v>
      </c>
      <c r="C338" s="10" t="s">
        <v>5</v>
      </c>
      <c r="D338" s="12">
        <v>784</v>
      </c>
      <c r="E338" s="13">
        <v>15</v>
      </c>
      <c r="F338" s="12">
        <f t="shared" si="10"/>
        <v>11760</v>
      </c>
      <c r="G338" s="12">
        <v>29310</v>
      </c>
      <c r="H338" s="12">
        <f t="shared" si="11"/>
        <v>-17550</v>
      </c>
      <c r="I338" s="11">
        <v>44805</v>
      </c>
      <c r="J338" s="10" t="s">
        <v>22</v>
      </c>
      <c r="K338" s="9">
        <v>2022</v>
      </c>
    </row>
    <row r="339" spans="1:11" x14ac:dyDescent="0.35">
      <c r="A339" s="14" t="s">
        <v>16</v>
      </c>
      <c r="B339" s="10" t="s">
        <v>15</v>
      </c>
      <c r="C339" s="10" t="s">
        <v>5</v>
      </c>
      <c r="D339" s="12">
        <v>253</v>
      </c>
      <c r="E339" s="13">
        <v>20</v>
      </c>
      <c r="F339" s="12">
        <f t="shared" si="10"/>
        <v>5060</v>
      </c>
      <c r="G339" s="12">
        <v>15350</v>
      </c>
      <c r="H339" s="12">
        <f t="shared" si="11"/>
        <v>-10290</v>
      </c>
      <c r="I339" s="11">
        <v>45170</v>
      </c>
      <c r="J339" s="10" t="s">
        <v>22</v>
      </c>
      <c r="K339" s="9">
        <v>2023</v>
      </c>
    </row>
    <row r="340" spans="1:11" x14ac:dyDescent="0.35">
      <c r="A340" s="14" t="s">
        <v>19</v>
      </c>
      <c r="B340" s="10" t="s">
        <v>6</v>
      </c>
      <c r="C340" s="10" t="s">
        <v>5</v>
      </c>
      <c r="D340" s="12">
        <v>1316</v>
      </c>
      <c r="E340" s="13">
        <v>300</v>
      </c>
      <c r="F340" s="12">
        <f t="shared" si="10"/>
        <v>394800</v>
      </c>
      <c r="G340" s="12">
        <v>280750</v>
      </c>
      <c r="H340" s="12">
        <f t="shared" si="11"/>
        <v>114050</v>
      </c>
      <c r="I340" s="11">
        <v>44805</v>
      </c>
      <c r="J340" s="10" t="s">
        <v>22</v>
      </c>
      <c r="K340" s="9">
        <v>2022</v>
      </c>
    </row>
    <row r="341" spans="1:11" x14ac:dyDescent="0.35">
      <c r="A341" s="14" t="s">
        <v>7</v>
      </c>
      <c r="B341" s="10" t="s">
        <v>6</v>
      </c>
      <c r="C341" s="10" t="s">
        <v>5</v>
      </c>
      <c r="D341" s="12">
        <v>808</v>
      </c>
      <c r="E341" s="13">
        <v>300</v>
      </c>
      <c r="F341" s="12">
        <f t="shared" si="10"/>
        <v>242400</v>
      </c>
      <c r="G341" s="12">
        <v>351000</v>
      </c>
      <c r="H341" s="12">
        <f t="shared" si="11"/>
        <v>-108600</v>
      </c>
      <c r="I341" s="11">
        <v>44866</v>
      </c>
      <c r="J341" s="10" t="s">
        <v>18</v>
      </c>
      <c r="K341" s="9">
        <v>2022</v>
      </c>
    </row>
    <row r="342" spans="1:11" x14ac:dyDescent="0.35">
      <c r="A342" s="14" t="s">
        <v>11</v>
      </c>
      <c r="B342" s="10" t="s">
        <v>10</v>
      </c>
      <c r="C342" s="10" t="s">
        <v>5</v>
      </c>
      <c r="D342" s="12">
        <v>3295</v>
      </c>
      <c r="E342" s="13">
        <v>12</v>
      </c>
      <c r="F342" s="12">
        <f t="shared" si="10"/>
        <v>39540</v>
      </c>
      <c r="G342" s="12">
        <v>8289</v>
      </c>
      <c r="H342" s="12">
        <f t="shared" si="11"/>
        <v>31251</v>
      </c>
      <c r="I342" s="11">
        <v>44866</v>
      </c>
      <c r="J342" s="10" t="s">
        <v>18</v>
      </c>
      <c r="K342" s="9">
        <v>2022</v>
      </c>
    </row>
    <row r="343" spans="1:11" x14ac:dyDescent="0.35">
      <c r="A343" s="14" t="s">
        <v>19</v>
      </c>
      <c r="B343" s="10" t="s">
        <v>6</v>
      </c>
      <c r="C343" s="10" t="s">
        <v>5</v>
      </c>
      <c r="D343" s="12">
        <v>520</v>
      </c>
      <c r="E343" s="13">
        <v>7</v>
      </c>
      <c r="F343" s="12">
        <f t="shared" si="10"/>
        <v>3640</v>
      </c>
      <c r="G343" s="12">
        <v>10625</v>
      </c>
      <c r="H343" s="12">
        <f t="shared" si="11"/>
        <v>-6985</v>
      </c>
      <c r="I343" s="11">
        <v>44896</v>
      </c>
      <c r="J343" s="10" t="s">
        <v>17</v>
      </c>
      <c r="K343" s="9">
        <v>2022</v>
      </c>
    </row>
    <row r="344" spans="1:11" x14ac:dyDescent="0.35">
      <c r="A344" s="14" t="s">
        <v>16</v>
      </c>
      <c r="B344" s="10" t="s">
        <v>15</v>
      </c>
      <c r="C344" s="10" t="s">
        <v>21</v>
      </c>
      <c r="D344" s="12">
        <v>799</v>
      </c>
      <c r="E344" s="13">
        <v>300</v>
      </c>
      <c r="F344" s="12">
        <f t="shared" si="10"/>
        <v>239700</v>
      </c>
      <c r="G344" s="12">
        <v>414750</v>
      </c>
      <c r="H344" s="12">
        <f t="shared" si="11"/>
        <v>-175050</v>
      </c>
      <c r="I344" s="11">
        <v>45108</v>
      </c>
      <c r="J344" s="10" t="s">
        <v>20</v>
      </c>
      <c r="K344" s="9">
        <v>2023</v>
      </c>
    </row>
    <row r="345" spans="1:11" x14ac:dyDescent="0.35">
      <c r="A345" s="14" t="s">
        <v>11</v>
      </c>
      <c r="B345" s="10" t="s">
        <v>10</v>
      </c>
      <c r="C345" s="10" t="s">
        <v>21</v>
      </c>
      <c r="D345" s="12">
        <v>3942</v>
      </c>
      <c r="E345" s="13">
        <v>20</v>
      </c>
      <c r="F345" s="12">
        <f t="shared" si="10"/>
        <v>78840</v>
      </c>
      <c r="G345" s="12">
        <v>6090</v>
      </c>
      <c r="H345" s="12">
        <f t="shared" si="11"/>
        <v>72750</v>
      </c>
      <c r="I345" s="11">
        <v>45139</v>
      </c>
      <c r="J345" s="10" t="s">
        <v>23</v>
      </c>
      <c r="K345" s="9">
        <v>2023</v>
      </c>
    </row>
    <row r="346" spans="1:11" x14ac:dyDescent="0.35">
      <c r="A346" s="14" t="s">
        <v>19</v>
      </c>
      <c r="B346" s="10" t="s">
        <v>6</v>
      </c>
      <c r="C346" s="10" t="s">
        <v>21</v>
      </c>
      <c r="D346" s="12">
        <v>2498</v>
      </c>
      <c r="E346" s="13">
        <v>125</v>
      </c>
      <c r="F346" s="12">
        <f t="shared" si="10"/>
        <v>312250</v>
      </c>
      <c r="G346" s="12">
        <v>250440</v>
      </c>
      <c r="H346" s="12">
        <f t="shared" si="11"/>
        <v>61810</v>
      </c>
      <c r="I346" s="11">
        <v>45170</v>
      </c>
      <c r="J346" s="10" t="s">
        <v>22</v>
      </c>
      <c r="K346" s="9">
        <v>2023</v>
      </c>
    </row>
    <row r="347" spans="1:11" x14ac:dyDescent="0.35">
      <c r="A347" s="14" t="s">
        <v>16</v>
      </c>
      <c r="B347" s="10" t="s">
        <v>15</v>
      </c>
      <c r="C347" s="10" t="s">
        <v>21</v>
      </c>
      <c r="D347" s="12">
        <v>2517</v>
      </c>
      <c r="E347" s="13">
        <v>20</v>
      </c>
      <c r="F347" s="12">
        <f t="shared" si="10"/>
        <v>50340</v>
      </c>
      <c r="G347" s="12">
        <v>19760</v>
      </c>
      <c r="H347" s="12">
        <f t="shared" si="11"/>
        <v>30580</v>
      </c>
      <c r="I347" s="11">
        <v>45200</v>
      </c>
      <c r="J347" s="10" t="s">
        <v>12</v>
      </c>
      <c r="K347" s="9">
        <v>2023</v>
      </c>
    </row>
    <row r="348" spans="1:11" x14ac:dyDescent="0.35">
      <c r="A348" s="14" t="s">
        <v>3</v>
      </c>
      <c r="B348" s="10" t="s">
        <v>2</v>
      </c>
      <c r="C348" s="10" t="s">
        <v>21</v>
      </c>
      <c r="D348" s="12">
        <v>3182</v>
      </c>
      <c r="E348" s="13">
        <v>20</v>
      </c>
      <c r="F348" s="12">
        <f t="shared" si="10"/>
        <v>63640</v>
      </c>
      <c r="G348" s="12">
        <v>14210</v>
      </c>
      <c r="H348" s="12">
        <f t="shared" si="11"/>
        <v>49430</v>
      </c>
      <c r="I348" s="11">
        <v>44896</v>
      </c>
      <c r="J348" s="10" t="s">
        <v>17</v>
      </c>
      <c r="K348" s="9">
        <v>2022</v>
      </c>
    </row>
    <row r="349" spans="1:11" x14ac:dyDescent="0.35">
      <c r="A349" s="14" t="s">
        <v>3</v>
      </c>
      <c r="B349" s="10" t="s">
        <v>2</v>
      </c>
      <c r="C349" s="10" t="s">
        <v>21</v>
      </c>
      <c r="D349" s="12">
        <v>1145</v>
      </c>
      <c r="E349" s="13">
        <v>300</v>
      </c>
      <c r="F349" s="12">
        <f t="shared" si="10"/>
        <v>343500</v>
      </c>
      <c r="G349" s="12">
        <v>343000</v>
      </c>
      <c r="H349" s="12">
        <f t="shared" si="11"/>
        <v>500</v>
      </c>
      <c r="I349" s="11">
        <v>45261</v>
      </c>
      <c r="J349" s="10" t="s">
        <v>17</v>
      </c>
      <c r="K349" s="9">
        <v>2023</v>
      </c>
    </row>
    <row r="350" spans="1:11" x14ac:dyDescent="0.35">
      <c r="A350" s="14" t="s">
        <v>19</v>
      </c>
      <c r="B350" s="10" t="s">
        <v>6</v>
      </c>
      <c r="C350" s="10" t="s">
        <v>21</v>
      </c>
      <c r="D350" s="12">
        <v>895</v>
      </c>
      <c r="E350" s="13">
        <v>20</v>
      </c>
      <c r="F350" s="12">
        <f t="shared" si="10"/>
        <v>17900</v>
      </c>
      <c r="G350" s="12">
        <v>5880</v>
      </c>
      <c r="H350" s="12">
        <f t="shared" si="11"/>
        <v>12020</v>
      </c>
      <c r="I350" s="11">
        <v>44896</v>
      </c>
      <c r="J350" s="10" t="s">
        <v>17</v>
      </c>
      <c r="K350" s="9">
        <v>2022</v>
      </c>
    </row>
    <row r="351" spans="1:11" x14ac:dyDescent="0.35">
      <c r="A351" s="14" t="s">
        <v>7</v>
      </c>
      <c r="B351" s="10" t="s">
        <v>6</v>
      </c>
      <c r="C351" s="10" t="s">
        <v>1</v>
      </c>
      <c r="D351" s="12">
        <v>3814</v>
      </c>
      <c r="E351" s="13">
        <v>12</v>
      </c>
      <c r="F351" s="12">
        <f t="shared" si="10"/>
        <v>45768</v>
      </c>
      <c r="G351" s="12">
        <v>9733.5</v>
      </c>
      <c r="H351" s="12">
        <f t="shared" si="11"/>
        <v>36034.5</v>
      </c>
      <c r="I351" s="11">
        <v>44927</v>
      </c>
      <c r="J351" s="10" t="s">
        <v>25</v>
      </c>
      <c r="K351" s="9">
        <v>2023</v>
      </c>
    </row>
    <row r="352" spans="1:11" x14ac:dyDescent="0.35">
      <c r="A352" s="14" t="s">
        <v>16</v>
      </c>
      <c r="B352" s="10" t="s">
        <v>15</v>
      </c>
      <c r="C352" s="10" t="s">
        <v>1</v>
      </c>
      <c r="D352" s="12">
        <v>1188</v>
      </c>
      <c r="E352" s="13">
        <v>300</v>
      </c>
      <c r="F352" s="12">
        <f t="shared" si="10"/>
        <v>356400</v>
      </c>
      <c r="G352" s="12">
        <v>239750</v>
      </c>
      <c r="H352" s="12">
        <f t="shared" si="11"/>
        <v>116650</v>
      </c>
      <c r="I352" s="11">
        <v>44958</v>
      </c>
      <c r="J352" s="10" t="s">
        <v>8</v>
      </c>
      <c r="K352" s="9">
        <v>2023</v>
      </c>
    </row>
    <row r="353" spans="1:11" x14ac:dyDescent="0.35">
      <c r="A353" s="14" t="s">
        <v>11</v>
      </c>
      <c r="B353" s="10" t="s">
        <v>10</v>
      </c>
      <c r="C353" s="10" t="s">
        <v>1</v>
      </c>
      <c r="D353" s="12">
        <v>2233</v>
      </c>
      <c r="E353" s="13">
        <v>300</v>
      </c>
      <c r="F353" s="12">
        <f t="shared" si="10"/>
        <v>669900</v>
      </c>
      <c r="G353" s="12">
        <v>686750</v>
      </c>
      <c r="H353" s="12">
        <f t="shared" si="11"/>
        <v>-16850</v>
      </c>
      <c r="I353" s="11">
        <v>44958</v>
      </c>
      <c r="J353" s="10" t="s">
        <v>8</v>
      </c>
      <c r="K353" s="9">
        <v>2023</v>
      </c>
    </row>
    <row r="354" spans="1:11" x14ac:dyDescent="0.35">
      <c r="A354" s="14" t="s">
        <v>7</v>
      </c>
      <c r="B354" s="10" t="s">
        <v>6</v>
      </c>
      <c r="C354" s="10" t="s">
        <v>13</v>
      </c>
      <c r="D354" s="12">
        <v>421</v>
      </c>
      <c r="E354" s="13">
        <v>125</v>
      </c>
      <c r="F354" s="12">
        <f t="shared" si="10"/>
        <v>52625</v>
      </c>
      <c r="G354" s="12">
        <v>197400</v>
      </c>
      <c r="H354" s="12">
        <f t="shared" si="11"/>
        <v>-144775</v>
      </c>
      <c r="I354" s="11">
        <v>45047</v>
      </c>
      <c r="J354" s="10" t="s">
        <v>0</v>
      </c>
      <c r="K354" s="9">
        <v>2023</v>
      </c>
    </row>
    <row r="355" spans="1:11" x14ac:dyDescent="0.35">
      <c r="A355" s="14" t="s">
        <v>16</v>
      </c>
      <c r="B355" s="10" t="s">
        <v>15</v>
      </c>
      <c r="C355" s="10" t="s">
        <v>13</v>
      </c>
      <c r="D355" s="12">
        <v>269</v>
      </c>
      <c r="E355" s="13">
        <v>350</v>
      </c>
      <c r="F355" s="12">
        <f t="shared" si="10"/>
        <v>94150</v>
      </c>
      <c r="G355" s="12">
        <v>747760</v>
      </c>
      <c r="H355" s="12">
        <f t="shared" si="11"/>
        <v>-653610</v>
      </c>
      <c r="I355" s="11">
        <v>45170</v>
      </c>
      <c r="J355" s="10" t="s">
        <v>22</v>
      </c>
      <c r="K355" s="9">
        <v>2023</v>
      </c>
    </row>
    <row r="356" spans="1:11" x14ac:dyDescent="0.35">
      <c r="A356" s="14" t="s">
        <v>19</v>
      </c>
      <c r="B356" s="10" t="s">
        <v>6</v>
      </c>
      <c r="C356" s="10" t="s">
        <v>13</v>
      </c>
      <c r="D356" s="12">
        <v>3766</v>
      </c>
      <c r="E356" s="13">
        <v>125</v>
      </c>
      <c r="F356" s="12">
        <f t="shared" si="10"/>
        <v>470750</v>
      </c>
      <c r="G356" s="12">
        <v>119280</v>
      </c>
      <c r="H356" s="12">
        <f t="shared" si="11"/>
        <v>351470</v>
      </c>
      <c r="I356" s="11">
        <v>44805</v>
      </c>
      <c r="J356" s="10" t="s">
        <v>22</v>
      </c>
      <c r="K356" s="9">
        <v>2022</v>
      </c>
    </row>
    <row r="357" spans="1:11" x14ac:dyDescent="0.35">
      <c r="A357" s="14" t="s">
        <v>7</v>
      </c>
      <c r="B357" s="10" t="s">
        <v>6</v>
      </c>
      <c r="C357" s="10" t="s">
        <v>13</v>
      </c>
      <c r="D357" s="12">
        <v>952</v>
      </c>
      <c r="E357" s="13">
        <v>20</v>
      </c>
      <c r="F357" s="12">
        <f t="shared" si="10"/>
        <v>19040</v>
      </c>
      <c r="G357" s="12">
        <v>11180</v>
      </c>
      <c r="H357" s="12">
        <f t="shared" si="11"/>
        <v>7860</v>
      </c>
      <c r="I357" s="11">
        <v>45231</v>
      </c>
      <c r="J357" s="10" t="s">
        <v>18</v>
      </c>
      <c r="K357" s="9">
        <v>2023</v>
      </c>
    </row>
    <row r="358" spans="1:11" x14ac:dyDescent="0.35">
      <c r="A358" s="14" t="s">
        <v>3</v>
      </c>
      <c r="B358" s="10" t="s">
        <v>2</v>
      </c>
      <c r="C358" s="10" t="s">
        <v>13</v>
      </c>
      <c r="D358" s="12">
        <v>2964</v>
      </c>
      <c r="E358" s="13">
        <v>300</v>
      </c>
      <c r="F358" s="12">
        <f t="shared" si="10"/>
        <v>889200</v>
      </c>
      <c r="G358" s="12">
        <v>343000</v>
      </c>
      <c r="H358" s="12">
        <f t="shared" si="11"/>
        <v>546200</v>
      </c>
      <c r="I358" s="11">
        <v>45261</v>
      </c>
      <c r="J358" s="10" t="s">
        <v>17</v>
      </c>
      <c r="K358" s="9">
        <v>2023</v>
      </c>
    </row>
    <row r="359" spans="1:11" x14ac:dyDescent="0.35">
      <c r="A359" s="14" t="s">
        <v>7</v>
      </c>
      <c r="B359" s="10" t="s">
        <v>6</v>
      </c>
      <c r="C359" s="10" t="s">
        <v>9</v>
      </c>
      <c r="D359" s="12">
        <v>1505</v>
      </c>
      <c r="E359" s="13">
        <v>7</v>
      </c>
      <c r="F359" s="12">
        <f t="shared" si="10"/>
        <v>10535</v>
      </c>
      <c r="G359" s="12">
        <v>2440</v>
      </c>
      <c r="H359" s="12">
        <f t="shared" si="11"/>
        <v>8095</v>
      </c>
      <c r="I359" s="11">
        <v>44958</v>
      </c>
      <c r="J359" s="10" t="s">
        <v>8</v>
      </c>
      <c r="K359" s="9">
        <v>2023</v>
      </c>
    </row>
    <row r="360" spans="1:11" x14ac:dyDescent="0.35">
      <c r="A360" s="14" t="s">
        <v>3</v>
      </c>
      <c r="B360" s="10" t="s">
        <v>2</v>
      </c>
      <c r="C360" s="10" t="s">
        <v>9</v>
      </c>
      <c r="D360" s="12">
        <v>1678</v>
      </c>
      <c r="E360" s="13">
        <v>20</v>
      </c>
      <c r="F360" s="12">
        <f t="shared" si="10"/>
        <v>33560</v>
      </c>
      <c r="G360" s="12">
        <v>12820</v>
      </c>
      <c r="H360" s="12">
        <f t="shared" si="11"/>
        <v>20740</v>
      </c>
      <c r="I360" s="11">
        <v>45078</v>
      </c>
      <c r="J360" s="10" t="s">
        <v>26</v>
      </c>
      <c r="K360" s="9">
        <v>2023</v>
      </c>
    </row>
    <row r="361" spans="1:11" x14ac:dyDescent="0.35">
      <c r="A361" s="14" t="s">
        <v>7</v>
      </c>
      <c r="B361" s="10" t="s">
        <v>6</v>
      </c>
      <c r="C361" s="10" t="s">
        <v>5</v>
      </c>
      <c r="D361" s="12">
        <v>4249</v>
      </c>
      <c r="E361" s="13">
        <v>7</v>
      </c>
      <c r="F361" s="12">
        <f t="shared" si="10"/>
        <v>29743</v>
      </c>
      <c r="G361" s="12">
        <v>1285</v>
      </c>
      <c r="H361" s="12">
        <f t="shared" si="11"/>
        <v>28458</v>
      </c>
      <c r="I361" s="11">
        <v>45047</v>
      </c>
      <c r="J361" s="10" t="s">
        <v>0</v>
      </c>
      <c r="K361" s="9">
        <v>2023</v>
      </c>
    </row>
    <row r="362" spans="1:11" x14ac:dyDescent="0.35">
      <c r="A362" s="14" t="s">
        <v>3</v>
      </c>
      <c r="B362" s="10" t="s">
        <v>2</v>
      </c>
      <c r="C362" s="10" t="s">
        <v>13</v>
      </c>
      <c r="D362" s="12">
        <v>1677</v>
      </c>
      <c r="E362" s="13">
        <v>20</v>
      </c>
      <c r="F362" s="12">
        <f t="shared" si="10"/>
        <v>33540</v>
      </c>
      <c r="G362" s="12">
        <v>12820</v>
      </c>
      <c r="H362" s="12">
        <f t="shared" si="11"/>
        <v>20720</v>
      </c>
      <c r="I362" s="11">
        <v>45078</v>
      </c>
      <c r="J362" s="10" t="s">
        <v>26</v>
      </c>
      <c r="K362" s="9">
        <v>2023</v>
      </c>
    </row>
    <row r="363" spans="1:11" x14ac:dyDescent="0.35">
      <c r="A363" s="14" t="s">
        <v>11</v>
      </c>
      <c r="B363" s="10" t="s">
        <v>10</v>
      </c>
      <c r="C363" s="10" t="s">
        <v>24</v>
      </c>
      <c r="D363" s="12">
        <v>3051</v>
      </c>
      <c r="E363" s="13">
        <v>125</v>
      </c>
      <c r="F363" s="12">
        <f t="shared" si="10"/>
        <v>381375</v>
      </c>
      <c r="G363" s="12">
        <v>184800</v>
      </c>
      <c r="H363" s="12">
        <f t="shared" si="11"/>
        <v>196575</v>
      </c>
      <c r="I363" s="11">
        <v>45139</v>
      </c>
      <c r="J363" s="10" t="s">
        <v>23</v>
      </c>
      <c r="K363" s="9">
        <v>2023</v>
      </c>
    </row>
    <row r="364" spans="1:11" x14ac:dyDescent="0.35">
      <c r="A364" s="14" t="s">
        <v>16</v>
      </c>
      <c r="B364" s="10" t="s">
        <v>15</v>
      </c>
      <c r="C364" s="10" t="s">
        <v>24</v>
      </c>
      <c r="D364" s="12">
        <v>3372</v>
      </c>
      <c r="E364" s="13">
        <v>15</v>
      </c>
      <c r="F364" s="12">
        <f t="shared" si="10"/>
        <v>50580</v>
      </c>
      <c r="G364" s="12">
        <v>4900</v>
      </c>
      <c r="H364" s="12">
        <f t="shared" si="11"/>
        <v>45680</v>
      </c>
      <c r="I364" s="11">
        <v>45231</v>
      </c>
      <c r="J364" s="10" t="s">
        <v>18</v>
      </c>
      <c r="K364" s="9">
        <v>2023</v>
      </c>
    </row>
    <row r="365" spans="1:11" x14ac:dyDescent="0.35">
      <c r="A365" s="14" t="s">
        <v>11</v>
      </c>
      <c r="B365" s="10" t="s">
        <v>10</v>
      </c>
      <c r="C365" s="10" t="s">
        <v>24</v>
      </c>
      <c r="D365" s="12">
        <v>1686</v>
      </c>
      <c r="E365" s="13">
        <v>350</v>
      </c>
      <c r="F365" s="12">
        <f t="shared" si="10"/>
        <v>590100</v>
      </c>
      <c r="G365" s="12">
        <v>354120</v>
      </c>
      <c r="H365" s="12">
        <f t="shared" si="11"/>
        <v>235980</v>
      </c>
      <c r="I365" s="11">
        <v>45261</v>
      </c>
      <c r="J365" s="10" t="s">
        <v>17</v>
      </c>
      <c r="K365" s="9">
        <v>2023</v>
      </c>
    </row>
    <row r="366" spans="1:11" x14ac:dyDescent="0.35">
      <c r="A366" s="14" t="s">
        <v>16</v>
      </c>
      <c r="B366" s="10" t="s">
        <v>15</v>
      </c>
      <c r="C366" s="10" t="s">
        <v>9</v>
      </c>
      <c r="D366" s="12">
        <v>3086</v>
      </c>
      <c r="E366" s="13">
        <v>15</v>
      </c>
      <c r="F366" s="12">
        <f t="shared" si="10"/>
        <v>46290</v>
      </c>
      <c r="G366" s="12">
        <v>25010</v>
      </c>
      <c r="H366" s="12">
        <f t="shared" si="11"/>
        <v>21280</v>
      </c>
      <c r="I366" s="11">
        <v>44986</v>
      </c>
      <c r="J366" s="10" t="s">
        <v>14</v>
      </c>
      <c r="K366" s="9">
        <v>2023</v>
      </c>
    </row>
    <row r="367" spans="1:11" x14ac:dyDescent="0.35">
      <c r="A367" s="14" t="s">
        <v>7</v>
      </c>
      <c r="B367" s="10" t="s">
        <v>6</v>
      </c>
      <c r="C367" s="10" t="s">
        <v>9</v>
      </c>
      <c r="D367" s="12">
        <v>4150</v>
      </c>
      <c r="E367" s="13">
        <v>20</v>
      </c>
      <c r="F367" s="12">
        <f t="shared" si="10"/>
        <v>83000</v>
      </c>
      <c r="G367" s="12">
        <v>7080</v>
      </c>
      <c r="H367" s="12">
        <f t="shared" si="11"/>
        <v>75920</v>
      </c>
      <c r="I367" s="11">
        <v>45078</v>
      </c>
      <c r="J367" s="10" t="s">
        <v>26</v>
      </c>
      <c r="K367" s="9">
        <v>2023</v>
      </c>
    </row>
    <row r="368" spans="1:11" x14ac:dyDescent="0.35">
      <c r="A368" s="14" t="s">
        <v>19</v>
      </c>
      <c r="B368" s="10" t="s">
        <v>6</v>
      </c>
      <c r="C368" s="10" t="s">
        <v>9</v>
      </c>
      <c r="D368" s="12">
        <v>3027</v>
      </c>
      <c r="E368" s="13">
        <v>20</v>
      </c>
      <c r="F368" s="12">
        <f t="shared" si="10"/>
        <v>60540</v>
      </c>
      <c r="G368" s="12">
        <v>6450</v>
      </c>
      <c r="H368" s="12">
        <f t="shared" si="11"/>
        <v>54090</v>
      </c>
      <c r="I368" s="11">
        <v>45108</v>
      </c>
      <c r="J368" s="10" t="s">
        <v>20</v>
      </c>
      <c r="K368" s="9">
        <v>2023</v>
      </c>
    </row>
    <row r="369" spans="1:11" x14ac:dyDescent="0.35">
      <c r="A369" s="14" t="s">
        <v>16</v>
      </c>
      <c r="B369" s="10" t="s">
        <v>15</v>
      </c>
      <c r="C369" s="10" t="s">
        <v>9</v>
      </c>
      <c r="D369" s="12">
        <v>4359</v>
      </c>
      <c r="E369" s="13">
        <v>300</v>
      </c>
      <c r="F369" s="12">
        <f t="shared" si="10"/>
        <v>1307700</v>
      </c>
      <c r="G369" s="12">
        <v>390500</v>
      </c>
      <c r="H369" s="12">
        <f t="shared" si="11"/>
        <v>917200</v>
      </c>
      <c r="I369" s="11">
        <v>45139</v>
      </c>
      <c r="J369" s="10" t="s">
        <v>23</v>
      </c>
      <c r="K369" s="9">
        <v>2023</v>
      </c>
    </row>
    <row r="370" spans="1:11" x14ac:dyDescent="0.35">
      <c r="A370" s="14" t="s">
        <v>7</v>
      </c>
      <c r="B370" s="10" t="s">
        <v>6</v>
      </c>
      <c r="C370" s="10" t="s">
        <v>9</v>
      </c>
      <c r="D370" s="12">
        <v>3628</v>
      </c>
      <c r="E370" s="13">
        <v>300</v>
      </c>
      <c r="F370" s="12">
        <f t="shared" si="10"/>
        <v>1088400</v>
      </c>
      <c r="G370" s="12">
        <v>320750</v>
      </c>
      <c r="H370" s="12">
        <f t="shared" si="11"/>
        <v>767650</v>
      </c>
      <c r="I370" s="11">
        <v>44805</v>
      </c>
      <c r="J370" s="10" t="s">
        <v>22</v>
      </c>
      <c r="K370" s="9">
        <v>2022</v>
      </c>
    </row>
    <row r="371" spans="1:11" x14ac:dyDescent="0.35">
      <c r="A371" s="14" t="s">
        <v>19</v>
      </c>
      <c r="B371" s="10" t="s">
        <v>6</v>
      </c>
      <c r="C371" s="10" t="s">
        <v>9</v>
      </c>
      <c r="D371" s="12">
        <v>1589</v>
      </c>
      <c r="E371" s="13">
        <v>15</v>
      </c>
      <c r="F371" s="12">
        <f t="shared" si="10"/>
        <v>23835</v>
      </c>
      <c r="G371" s="12">
        <v>7110</v>
      </c>
      <c r="H371" s="12">
        <f t="shared" si="11"/>
        <v>16725</v>
      </c>
      <c r="I371" s="11">
        <v>45261</v>
      </c>
      <c r="J371" s="10" t="s">
        <v>17</v>
      </c>
      <c r="K371" s="9">
        <v>2023</v>
      </c>
    </row>
    <row r="372" spans="1:11" x14ac:dyDescent="0.35">
      <c r="A372" s="14" t="s">
        <v>11</v>
      </c>
      <c r="B372" s="10" t="s">
        <v>10</v>
      </c>
      <c r="C372" s="10" t="s">
        <v>5</v>
      </c>
      <c r="D372" s="12">
        <v>2679</v>
      </c>
      <c r="E372" s="13">
        <v>125</v>
      </c>
      <c r="F372" s="12">
        <f t="shared" si="10"/>
        <v>334875</v>
      </c>
      <c r="G372" s="12">
        <v>133680</v>
      </c>
      <c r="H372" s="12">
        <f t="shared" si="11"/>
        <v>201195</v>
      </c>
      <c r="I372" s="11">
        <v>44986</v>
      </c>
      <c r="J372" s="10" t="s">
        <v>14</v>
      </c>
      <c r="K372" s="9">
        <v>2023</v>
      </c>
    </row>
    <row r="373" spans="1:11" x14ac:dyDescent="0.35">
      <c r="A373" s="14" t="s">
        <v>19</v>
      </c>
      <c r="B373" s="10" t="s">
        <v>6</v>
      </c>
      <c r="C373" s="10" t="s">
        <v>5</v>
      </c>
      <c r="D373" s="12">
        <v>3401</v>
      </c>
      <c r="E373" s="13">
        <v>7</v>
      </c>
      <c r="F373" s="12">
        <f t="shared" si="10"/>
        <v>23807</v>
      </c>
      <c r="G373" s="12">
        <v>6295</v>
      </c>
      <c r="H373" s="12">
        <f t="shared" si="11"/>
        <v>17512</v>
      </c>
      <c r="I373" s="11">
        <v>45017</v>
      </c>
      <c r="J373" s="10" t="s">
        <v>4</v>
      </c>
      <c r="K373" s="9">
        <v>2023</v>
      </c>
    </row>
    <row r="374" spans="1:11" x14ac:dyDescent="0.35">
      <c r="A374" s="14" t="s">
        <v>19</v>
      </c>
      <c r="B374" s="10" t="s">
        <v>6</v>
      </c>
      <c r="C374" s="10" t="s">
        <v>5</v>
      </c>
      <c r="D374" s="12">
        <v>2815</v>
      </c>
      <c r="E374" s="13">
        <v>7</v>
      </c>
      <c r="F374" s="12">
        <f t="shared" si="10"/>
        <v>19705</v>
      </c>
      <c r="G374" s="12">
        <v>5475</v>
      </c>
      <c r="H374" s="12">
        <f t="shared" si="11"/>
        <v>14230</v>
      </c>
      <c r="I374" s="11">
        <v>45047</v>
      </c>
      <c r="J374" s="10" t="s">
        <v>0</v>
      </c>
      <c r="K374" s="9">
        <v>2023</v>
      </c>
    </row>
    <row r="375" spans="1:11" x14ac:dyDescent="0.35">
      <c r="A375" s="14" t="s">
        <v>19</v>
      </c>
      <c r="B375" s="10" t="s">
        <v>6</v>
      </c>
      <c r="C375" s="10" t="s">
        <v>5</v>
      </c>
      <c r="D375" s="12">
        <v>2964</v>
      </c>
      <c r="E375" s="13">
        <v>20</v>
      </c>
      <c r="F375" s="12">
        <f t="shared" si="10"/>
        <v>59280</v>
      </c>
      <c r="G375" s="12">
        <v>13660</v>
      </c>
      <c r="H375" s="12">
        <f t="shared" si="11"/>
        <v>45620</v>
      </c>
      <c r="I375" s="11">
        <v>45078</v>
      </c>
      <c r="J375" s="10" t="s">
        <v>26</v>
      </c>
      <c r="K375" s="9">
        <v>2023</v>
      </c>
    </row>
    <row r="376" spans="1:11" x14ac:dyDescent="0.35">
      <c r="A376" s="14" t="s">
        <v>11</v>
      </c>
      <c r="B376" s="10" t="s">
        <v>10</v>
      </c>
      <c r="C376" s="10" t="s">
        <v>5</v>
      </c>
      <c r="D376" s="12">
        <v>4173</v>
      </c>
      <c r="E376" s="13">
        <v>300</v>
      </c>
      <c r="F376" s="12">
        <f t="shared" si="10"/>
        <v>1251900</v>
      </c>
      <c r="G376" s="12">
        <v>615000</v>
      </c>
      <c r="H376" s="12">
        <f t="shared" si="11"/>
        <v>636900</v>
      </c>
      <c r="I376" s="11">
        <v>45078</v>
      </c>
      <c r="J376" s="10" t="s">
        <v>26</v>
      </c>
      <c r="K376" s="9">
        <v>2023</v>
      </c>
    </row>
    <row r="377" spans="1:11" x14ac:dyDescent="0.35">
      <c r="A377" s="14" t="s">
        <v>3</v>
      </c>
      <c r="B377" s="10" t="s">
        <v>2</v>
      </c>
      <c r="C377" s="10" t="s">
        <v>5</v>
      </c>
      <c r="D377" s="12">
        <v>1157</v>
      </c>
      <c r="E377" s="13">
        <v>7</v>
      </c>
      <c r="F377" s="12">
        <f t="shared" si="10"/>
        <v>8099</v>
      </c>
      <c r="G377" s="12">
        <v>3390</v>
      </c>
      <c r="H377" s="12">
        <f t="shared" si="11"/>
        <v>4709</v>
      </c>
      <c r="I377" s="11">
        <v>45139</v>
      </c>
      <c r="J377" s="10" t="s">
        <v>23</v>
      </c>
      <c r="K377" s="9">
        <v>2023</v>
      </c>
    </row>
    <row r="378" spans="1:11" x14ac:dyDescent="0.35">
      <c r="A378" s="14" t="s">
        <v>19</v>
      </c>
      <c r="B378" s="10" t="s">
        <v>6</v>
      </c>
      <c r="C378" s="10" t="s">
        <v>5</v>
      </c>
      <c r="D378" s="12">
        <v>3065</v>
      </c>
      <c r="E378" s="13">
        <v>7</v>
      </c>
      <c r="F378" s="12">
        <f t="shared" si="10"/>
        <v>21455</v>
      </c>
      <c r="G378" s="12">
        <v>7990</v>
      </c>
      <c r="H378" s="12">
        <f t="shared" si="11"/>
        <v>13465</v>
      </c>
      <c r="I378" s="11">
        <v>45139</v>
      </c>
      <c r="J378" s="10" t="s">
        <v>23</v>
      </c>
      <c r="K378" s="9">
        <v>2023</v>
      </c>
    </row>
    <row r="379" spans="1:11" x14ac:dyDescent="0.35">
      <c r="A379" s="14" t="s">
        <v>19</v>
      </c>
      <c r="B379" s="10" t="s">
        <v>6</v>
      </c>
      <c r="C379" s="10" t="s">
        <v>5</v>
      </c>
      <c r="D379" s="12">
        <v>1962</v>
      </c>
      <c r="E379" s="13">
        <v>7</v>
      </c>
      <c r="F379" s="12">
        <f t="shared" si="10"/>
        <v>13734</v>
      </c>
      <c r="G379" s="12">
        <v>12045</v>
      </c>
      <c r="H379" s="12">
        <f t="shared" si="11"/>
        <v>1689</v>
      </c>
      <c r="I379" s="11">
        <v>44805</v>
      </c>
      <c r="J379" s="10" t="s">
        <v>22</v>
      </c>
      <c r="K379" s="9">
        <v>2022</v>
      </c>
    </row>
    <row r="380" spans="1:11" x14ac:dyDescent="0.35">
      <c r="A380" s="14" t="s">
        <v>19</v>
      </c>
      <c r="B380" s="10" t="s">
        <v>6</v>
      </c>
      <c r="C380" s="10" t="s">
        <v>5</v>
      </c>
      <c r="D380" s="12">
        <v>4080</v>
      </c>
      <c r="E380" s="13">
        <v>20</v>
      </c>
      <c r="F380" s="12">
        <f t="shared" si="10"/>
        <v>81600</v>
      </c>
      <c r="G380" s="12">
        <v>19340</v>
      </c>
      <c r="H380" s="12">
        <f t="shared" si="11"/>
        <v>62260</v>
      </c>
      <c r="I380" s="11">
        <v>45170</v>
      </c>
      <c r="J380" s="10" t="s">
        <v>22</v>
      </c>
      <c r="K380" s="9">
        <v>2023</v>
      </c>
    </row>
    <row r="381" spans="1:11" x14ac:dyDescent="0.35">
      <c r="A381" s="14" t="s">
        <v>11</v>
      </c>
      <c r="B381" s="10" t="s">
        <v>10</v>
      </c>
      <c r="C381" s="10" t="s">
        <v>5</v>
      </c>
      <c r="D381" s="12">
        <v>1713</v>
      </c>
      <c r="E381" s="13">
        <v>20</v>
      </c>
      <c r="F381" s="12">
        <f t="shared" si="10"/>
        <v>34260</v>
      </c>
      <c r="G381" s="12">
        <v>29930</v>
      </c>
      <c r="H381" s="12">
        <f t="shared" si="11"/>
        <v>4330</v>
      </c>
      <c r="I381" s="11">
        <v>45170</v>
      </c>
      <c r="J381" s="10" t="s">
        <v>22</v>
      </c>
      <c r="K381" s="9">
        <v>2023</v>
      </c>
    </row>
    <row r="382" spans="1:11" x14ac:dyDescent="0.35">
      <c r="A382" s="14" t="s">
        <v>19</v>
      </c>
      <c r="B382" s="10" t="s">
        <v>6</v>
      </c>
      <c r="C382" s="10" t="s">
        <v>5</v>
      </c>
      <c r="D382" s="12">
        <v>2795</v>
      </c>
      <c r="E382" s="13">
        <v>350</v>
      </c>
      <c r="F382" s="12">
        <f t="shared" si="10"/>
        <v>978250</v>
      </c>
      <c r="G382" s="12">
        <v>557960</v>
      </c>
      <c r="H382" s="12">
        <f t="shared" si="11"/>
        <v>420290</v>
      </c>
      <c r="I382" s="11">
        <v>44866</v>
      </c>
      <c r="J382" s="10" t="s">
        <v>18</v>
      </c>
      <c r="K382" s="9">
        <v>2022</v>
      </c>
    </row>
    <row r="383" spans="1:11" x14ac:dyDescent="0.35">
      <c r="A383" s="14" t="s">
        <v>11</v>
      </c>
      <c r="B383" s="10" t="s">
        <v>10</v>
      </c>
      <c r="C383" s="10" t="s">
        <v>5</v>
      </c>
      <c r="D383" s="12">
        <v>4082</v>
      </c>
      <c r="E383" s="13">
        <v>7</v>
      </c>
      <c r="F383" s="12">
        <f t="shared" si="10"/>
        <v>28574</v>
      </c>
      <c r="G383" s="12">
        <v>9730</v>
      </c>
      <c r="H383" s="12">
        <f t="shared" si="11"/>
        <v>18844</v>
      </c>
      <c r="I383" s="11">
        <v>44896</v>
      </c>
      <c r="J383" s="10" t="s">
        <v>17</v>
      </c>
      <c r="K383" s="9">
        <v>2022</v>
      </c>
    </row>
    <row r="384" spans="1:11" x14ac:dyDescent="0.35">
      <c r="A384" s="14" t="s">
        <v>11</v>
      </c>
      <c r="B384" s="10" t="s">
        <v>10</v>
      </c>
      <c r="C384" s="10" t="s">
        <v>5</v>
      </c>
      <c r="D384" s="12">
        <v>1691</v>
      </c>
      <c r="E384" s="13">
        <v>350</v>
      </c>
      <c r="F384" s="12">
        <f t="shared" si="10"/>
        <v>591850</v>
      </c>
      <c r="G384" s="12">
        <v>354120</v>
      </c>
      <c r="H384" s="12">
        <f t="shared" si="11"/>
        <v>237730</v>
      </c>
      <c r="I384" s="11">
        <v>45261</v>
      </c>
      <c r="J384" s="10" t="s">
        <v>17</v>
      </c>
      <c r="K384" s="9">
        <v>2023</v>
      </c>
    </row>
    <row r="385" spans="1:11" x14ac:dyDescent="0.35">
      <c r="A385" s="14" t="s">
        <v>7</v>
      </c>
      <c r="B385" s="10" t="s">
        <v>6</v>
      </c>
      <c r="C385" s="10" t="s">
        <v>21</v>
      </c>
      <c r="D385" s="12">
        <v>2305</v>
      </c>
      <c r="E385" s="13">
        <v>12</v>
      </c>
      <c r="F385" s="12">
        <f t="shared" si="10"/>
        <v>27660</v>
      </c>
      <c r="G385" s="12">
        <v>1794</v>
      </c>
      <c r="H385" s="12">
        <f t="shared" si="11"/>
        <v>25866</v>
      </c>
      <c r="I385" s="11">
        <v>44986</v>
      </c>
      <c r="J385" s="10" t="s">
        <v>14</v>
      </c>
      <c r="K385" s="9">
        <v>2023</v>
      </c>
    </row>
    <row r="386" spans="1:11" x14ac:dyDescent="0.35">
      <c r="A386" s="14" t="s">
        <v>3</v>
      </c>
      <c r="B386" s="10" t="s">
        <v>2</v>
      </c>
      <c r="C386" s="10" t="s">
        <v>21</v>
      </c>
      <c r="D386" s="12">
        <v>3401</v>
      </c>
      <c r="E386" s="13">
        <v>7</v>
      </c>
      <c r="F386" s="12">
        <f t="shared" ref="F386:F449" si="12">SUM(D386*E386)</f>
        <v>23807</v>
      </c>
      <c r="G386" s="12">
        <v>14535</v>
      </c>
      <c r="H386" s="12">
        <f t="shared" ref="H386:H449" si="13">F386-G386</f>
        <v>9272</v>
      </c>
      <c r="I386" s="11">
        <v>45078</v>
      </c>
      <c r="J386" s="10" t="s">
        <v>26</v>
      </c>
      <c r="K386" s="9">
        <v>2023</v>
      </c>
    </row>
    <row r="387" spans="1:11" x14ac:dyDescent="0.35">
      <c r="A387" s="14" t="s">
        <v>19</v>
      </c>
      <c r="B387" s="10" t="s">
        <v>6</v>
      </c>
      <c r="C387" s="10" t="s">
        <v>21</v>
      </c>
      <c r="D387" s="12">
        <v>2288</v>
      </c>
      <c r="E387" s="13">
        <v>7</v>
      </c>
      <c r="F387" s="12">
        <f t="shared" si="12"/>
        <v>16016</v>
      </c>
      <c r="G387" s="12">
        <v>11690</v>
      </c>
      <c r="H387" s="12">
        <f t="shared" si="13"/>
        <v>4326</v>
      </c>
      <c r="I387" s="11">
        <v>45078</v>
      </c>
      <c r="J387" s="10" t="s">
        <v>26</v>
      </c>
      <c r="K387" s="9">
        <v>2023</v>
      </c>
    </row>
    <row r="388" spans="1:11" x14ac:dyDescent="0.35">
      <c r="A388" s="14" t="s">
        <v>16</v>
      </c>
      <c r="B388" s="10" t="s">
        <v>15</v>
      </c>
      <c r="C388" s="10" t="s">
        <v>21</v>
      </c>
      <c r="D388" s="12">
        <v>2399</v>
      </c>
      <c r="E388" s="13">
        <v>300</v>
      </c>
      <c r="F388" s="12">
        <f t="shared" si="12"/>
        <v>719700</v>
      </c>
      <c r="G388" s="12">
        <v>96500</v>
      </c>
      <c r="H388" s="12">
        <f t="shared" si="13"/>
        <v>623200</v>
      </c>
      <c r="I388" s="11">
        <v>44866</v>
      </c>
      <c r="J388" s="10" t="s">
        <v>18</v>
      </c>
      <c r="K388" s="9">
        <v>2022</v>
      </c>
    </row>
    <row r="389" spans="1:11" x14ac:dyDescent="0.35">
      <c r="A389" s="14" t="s">
        <v>11</v>
      </c>
      <c r="B389" s="10" t="s">
        <v>10</v>
      </c>
      <c r="C389" s="10" t="s">
        <v>21</v>
      </c>
      <c r="D389" s="12">
        <v>4086</v>
      </c>
      <c r="E389" s="13">
        <v>300</v>
      </c>
      <c r="F389" s="12">
        <f t="shared" si="12"/>
        <v>1225800</v>
      </c>
      <c r="G389" s="12">
        <v>158750</v>
      </c>
      <c r="H389" s="12">
        <f t="shared" si="13"/>
        <v>1067050</v>
      </c>
      <c r="I389" s="11">
        <v>45261</v>
      </c>
      <c r="J389" s="10" t="s">
        <v>17</v>
      </c>
      <c r="K389" s="9">
        <v>2023</v>
      </c>
    </row>
    <row r="390" spans="1:11" x14ac:dyDescent="0.35">
      <c r="A390" s="14" t="s">
        <v>16</v>
      </c>
      <c r="B390" s="10" t="s">
        <v>15</v>
      </c>
      <c r="C390" s="10" t="s">
        <v>1</v>
      </c>
      <c r="D390" s="12">
        <v>2651</v>
      </c>
      <c r="E390" s="13">
        <v>350</v>
      </c>
      <c r="F390" s="12">
        <f t="shared" si="12"/>
        <v>927850</v>
      </c>
      <c r="G390" s="12">
        <v>149370</v>
      </c>
      <c r="H390" s="12">
        <f t="shared" si="13"/>
        <v>778480</v>
      </c>
      <c r="I390" s="11">
        <v>45017</v>
      </c>
      <c r="J390" s="10" t="s">
        <v>4</v>
      </c>
      <c r="K390" s="9">
        <v>2023</v>
      </c>
    </row>
    <row r="391" spans="1:11" x14ac:dyDescent="0.35">
      <c r="A391" s="14" t="s">
        <v>19</v>
      </c>
      <c r="B391" s="10" t="s">
        <v>6</v>
      </c>
      <c r="C391" s="10" t="s">
        <v>1</v>
      </c>
      <c r="D391" s="12">
        <v>3971</v>
      </c>
      <c r="E391" s="13">
        <v>7</v>
      </c>
      <c r="F391" s="12">
        <f t="shared" si="12"/>
        <v>27797</v>
      </c>
      <c r="G391" s="12">
        <v>11690</v>
      </c>
      <c r="H391" s="12">
        <f t="shared" si="13"/>
        <v>16107</v>
      </c>
      <c r="I391" s="11">
        <v>45078</v>
      </c>
      <c r="J391" s="10" t="s">
        <v>26</v>
      </c>
      <c r="K391" s="9">
        <v>2023</v>
      </c>
    </row>
    <row r="392" spans="1:11" x14ac:dyDescent="0.35">
      <c r="A392" s="14" t="s">
        <v>16</v>
      </c>
      <c r="B392" s="10" t="s">
        <v>15</v>
      </c>
      <c r="C392" s="10" t="s">
        <v>1</v>
      </c>
      <c r="D392" s="12">
        <v>2512</v>
      </c>
      <c r="E392" s="13">
        <v>350</v>
      </c>
      <c r="F392" s="12">
        <f t="shared" si="12"/>
        <v>879200</v>
      </c>
      <c r="G392" s="12">
        <v>99060</v>
      </c>
      <c r="H392" s="12">
        <f t="shared" si="13"/>
        <v>780140</v>
      </c>
      <c r="I392" s="11">
        <v>45139</v>
      </c>
      <c r="J392" s="10" t="s">
        <v>23</v>
      </c>
      <c r="K392" s="9">
        <v>2023</v>
      </c>
    </row>
    <row r="393" spans="1:11" x14ac:dyDescent="0.35">
      <c r="A393" s="14" t="s">
        <v>19</v>
      </c>
      <c r="B393" s="10" t="s">
        <v>6</v>
      </c>
      <c r="C393" s="10" t="s">
        <v>1</v>
      </c>
      <c r="D393" s="12">
        <v>2745</v>
      </c>
      <c r="E393" s="13">
        <v>350</v>
      </c>
      <c r="F393" s="12">
        <f t="shared" si="12"/>
        <v>960750</v>
      </c>
      <c r="G393" s="12">
        <v>109720</v>
      </c>
      <c r="H393" s="12">
        <f t="shared" si="13"/>
        <v>851030</v>
      </c>
      <c r="I393" s="11">
        <v>45139</v>
      </c>
      <c r="J393" s="10" t="s">
        <v>23</v>
      </c>
      <c r="K393" s="9">
        <v>2023</v>
      </c>
    </row>
    <row r="394" spans="1:11" x14ac:dyDescent="0.35">
      <c r="A394" s="14" t="s">
        <v>7</v>
      </c>
      <c r="B394" s="10" t="s">
        <v>6</v>
      </c>
      <c r="C394" s="10" t="s">
        <v>1</v>
      </c>
      <c r="D394" s="12">
        <v>1903</v>
      </c>
      <c r="E394" s="13">
        <v>300</v>
      </c>
      <c r="F394" s="12">
        <f t="shared" si="12"/>
        <v>570900</v>
      </c>
      <c r="G394" s="12">
        <v>533500</v>
      </c>
      <c r="H394" s="12">
        <f t="shared" si="13"/>
        <v>37400</v>
      </c>
      <c r="I394" s="11">
        <v>45170</v>
      </c>
      <c r="J394" s="10" t="s">
        <v>22</v>
      </c>
      <c r="K394" s="9">
        <v>2023</v>
      </c>
    </row>
    <row r="395" spans="1:11" x14ac:dyDescent="0.35">
      <c r="A395" s="14" t="s">
        <v>3</v>
      </c>
      <c r="B395" s="10" t="s">
        <v>2</v>
      </c>
      <c r="C395" s="10" t="s">
        <v>1</v>
      </c>
      <c r="D395" s="12">
        <v>647</v>
      </c>
      <c r="E395" s="13">
        <v>300</v>
      </c>
      <c r="F395" s="12">
        <f t="shared" si="12"/>
        <v>194100</v>
      </c>
      <c r="G395" s="12">
        <v>202000</v>
      </c>
      <c r="H395" s="12">
        <f t="shared" si="13"/>
        <v>-7900</v>
      </c>
      <c r="I395" s="11">
        <v>44896</v>
      </c>
      <c r="J395" s="10" t="s">
        <v>17</v>
      </c>
      <c r="K395" s="9">
        <v>2022</v>
      </c>
    </row>
    <row r="396" spans="1:11" x14ac:dyDescent="0.35">
      <c r="A396" s="14" t="s">
        <v>7</v>
      </c>
      <c r="B396" s="10" t="s">
        <v>6</v>
      </c>
      <c r="C396" s="10" t="s">
        <v>13</v>
      </c>
      <c r="D396" s="12">
        <v>2914</v>
      </c>
      <c r="E396" s="13">
        <v>20</v>
      </c>
      <c r="F396" s="12">
        <f t="shared" si="12"/>
        <v>58280</v>
      </c>
      <c r="G396" s="12">
        <v>7080</v>
      </c>
      <c r="H396" s="12">
        <f t="shared" si="13"/>
        <v>51200</v>
      </c>
      <c r="I396" s="11">
        <v>45078</v>
      </c>
      <c r="J396" s="10" t="s">
        <v>26</v>
      </c>
      <c r="K396" s="9">
        <v>2023</v>
      </c>
    </row>
    <row r="397" spans="1:11" x14ac:dyDescent="0.35">
      <c r="A397" s="14" t="s">
        <v>3</v>
      </c>
      <c r="B397" s="10" t="s">
        <v>2</v>
      </c>
      <c r="C397" s="10" t="s">
        <v>13</v>
      </c>
      <c r="D397" s="12">
        <v>1889</v>
      </c>
      <c r="E397" s="13">
        <v>7</v>
      </c>
      <c r="F397" s="12">
        <f t="shared" si="12"/>
        <v>13223</v>
      </c>
      <c r="G397" s="12">
        <v>14535</v>
      </c>
      <c r="H397" s="12">
        <f t="shared" si="13"/>
        <v>-1312</v>
      </c>
      <c r="I397" s="11">
        <v>45078</v>
      </c>
      <c r="J397" s="10" t="s">
        <v>26</v>
      </c>
      <c r="K397" s="9">
        <v>2023</v>
      </c>
    </row>
    <row r="398" spans="1:11" x14ac:dyDescent="0.35">
      <c r="A398" s="14" t="s">
        <v>19</v>
      </c>
      <c r="B398" s="10" t="s">
        <v>6</v>
      </c>
      <c r="C398" s="10" t="s">
        <v>13</v>
      </c>
      <c r="D398" s="12">
        <v>1466</v>
      </c>
      <c r="E398" s="13">
        <v>20</v>
      </c>
      <c r="F398" s="12">
        <f t="shared" si="12"/>
        <v>29320</v>
      </c>
      <c r="G398" s="12">
        <v>13660</v>
      </c>
      <c r="H398" s="12">
        <f t="shared" si="13"/>
        <v>15660</v>
      </c>
      <c r="I398" s="11">
        <v>45078</v>
      </c>
      <c r="J398" s="10" t="s">
        <v>26</v>
      </c>
      <c r="K398" s="9">
        <v>2023</v>
      </c>
    </row>
    <row r="399" spans="1:11" x14ac:dyDescent="0.35">
      <c r="A399" s="14" t="s">
        <v>11</v>
      </c>
      <c r="B399" s="10" t="s">
        <v>10</v>
      </c>
      <c r="C399" s="10" t="s">
        <v>13</v>
      </c>
      <c r="D399" s="12">
        <v>887</v>
      </c>
      <c r="E399" s="13">
        <v>300</v>
      </c>
      <c r="F399" s="12">
        <f t="shared" si="12"/>
        <v>266100</v>
      </c>
      <c r="G399" s="12">
        <v>615000</v>
      </c>
      <c r="H399" s="12">
        <f t="shared" si="13"/>
        <v>-348900</v>
      </c>
      <c r="I399" s="11">
        <v>45078</v>
      </c>
      <c r="J399" s="10" t="s">
        <v>26</v>
      </c>
      <c r="K399" s="9">
        <v>2023</v>
      </c>
    </row>
    <row r="400" spans="1:11" x14ac:dyDescent="0.35">
      <c r="A400" s="14" t="s">
        <v>19</v>
      </c>
      <c r="B400" s="10" t="s">
        <v>6</v>
      </c>
      <c r="C400" s="10" t="s">
        <v>13</v>
      </c>
      <c r="D400" s="12">
        <v>395</v>
      </c>
      <c r="E400" s="13">
        <v>20</v>
      </c>
      <c r="F400" s="12">
        <f t="shared" si="12"/>
        <v>7900</v>
      </c>
      <c r="G400" s="12">
        <v>15200</v>
      </c>
      <c r="H400" s="12">
        <f t="shared" si="13"/>
        <v>-7300</v>
      </c>
      <c r="I400" s="11">
        <v>45231</v>
      </c>
      <c r="J400" s="10" t="s">
        <v>18</v>
      </c>
      <c r="K400" s="9">
        <v>2023</v>
      </c>
    </row>
    <row r="401" spans="1:11" x14ac:dyDescent="0.35">
      <c r="A401" s="14" t="s">
        <v>19</v>
      </c>
      <c r="B401" s="10" t="s">
        <v>6</v>
      </c>
      <c r="C401" s="10" t="s">
        <v>13</v>
      </c>
      <c r="D401" s="12">
        <v>1693</v>
      </c>
      <c r="E401" s="13">
        <v>15</v>
      </c>
      <c r="F401" s="12">
        <f t="shared" si="12"/>
        <v>25395</v>
      </c>
      <c r="G401" s="12">
        <v>7110</v>
      </c>
      <c r="H401" s="12">
        <f t="shared" si="13"/>
        <v>18285</v>
      </c>
      <c r="I401" s="11">
        <v>45261</v>
      </c>
      <c r="J401" s="10" t="s">
        <v>17</v>
      </c>
      <c r="K401" s="9">
        <v>2023</v>
      </c>
    </row>
    <row r="402" spans="1:11" x14ac:dyDescent="0.35">
      <c r="A402" s="14" t="s">
        <v>11</v>
      </c>
      <c r="B402" s="10" t="s">
        <v>10</v>
      </c>
      <c r="C402" s="10" t="s">
        <v>13</v>
      </c>
      <c r="D402" s="12">
        <v>2459</v>
      </c>
      <c r="E402" s="13">
        <v>12</v>
      </c>
      <c r="F402" s="12">
        <f t="shared" si="12"/>
        <v>29508</v>
      </c>
      <c r="G402" s="12">
        <v>4125</v>
      </c>
      <c r="H402" s="12">
        <f t="shared" si="13"/>
        <v>25383</v>
      </c>
      <c r="I402" s="11">
        <v>44896</v>
      </c>
      <c r="J402" s="10" t="s">
        <v>17</v>
      </c>
      <c r="K402" s="9">
        <v>2022</v>
      </c>
    </row>
    <row r="403" spans="1:11" x14ac:dyDescent="0.35">
      <c r="A403" s="14" t="s">
        <v>11</v>
      </c>
      <c r="B403" s="10" t="s">
        <v>10</v>
      </c>
      <c r="C403" s="10" t="s">
        <v>13</v>
      </c>
      <c r="D403" s="12">
        <v>2649</v>
      </c>
      <c r="E403" s="13">
        <v>300</v>
      </c>
      <c r="F403" s="12">
        <f t="shared" si="12"/>
        <v>794700</v>
      </c>
      <c r="G403" s="12">
        <v>158750</v>
      </c>
      <c r="H403" s="12">
        <f t="shared" si="13"/>
        <v>635950</v>
      </c>
      <c r="I403" s="11">
        <v>45261</v>
      </c>
      <c r="J403" s="10" t="s">
        <v>17</v>
      </c>
      <c r="K403" s="9">
        <v>2023</v>
      </c>
    </row>
    <row r="404" spans="1:11" x14ac:dyDescent="0.35">
      <c r="A404" s="14" t="s">
        <v>3</v>
      </c>
      <c r="B404" s="10" t="s">
        <v>2</v>
      </c>
      <c r="C404" s="10" t="s">
        <v>1</v>
      </c>
      <c r="D404" s="12">
        <v>3608</v>
      </c>
      <c r="E404" s="13">
        <v>20</v>
      </c>
      <c r="F404" s="12">
        <f t="shared" si="12"/>
        <v>72160</v>
      </c>
      <c r="G404" s="12">
        <v>4365</v>
      </c>
      <c r="H404" s="12">
        <f t="shared" si="13"/>
        <v>67795</v>
      </c>
      <c r="I404" s="11">
        <v>45108</v>
      </c>
      <c r="J404" s="10" t="s">
        <v>20</v>
      </c>
      <c r="K404" s="9">
        <v>2023</v>
      </c>
    </row>
    <row r="405" spans="1:11" x14ac:dyDescent="0.35">
      <c r="A405" s="14" t="s">
        <v>7</v>
      </c>
      <c r="B405" s="10" t="s">
        <v>6</v>
      </c>
      <c r="C405" s="10" t="s">
        <v>24</v>
      </c>
      <c r="D405" s="12">
        <v>1073</v>
      </c>
      <c r="E405" s="13">
        <v>300</v>
      </c>
      <c r="F405" s="12">
        <f t="shared" si="12"/>
        <v>321900</v>
      </c>
      <c r="G405" s="12">
        <v>273500</v>
      </c>
      <c r="H405" s="12">
        <f t="shared" si="13"/>
        <v>48400</v>
      </c>
      <c r="I405" s="11">
        <v>45078</v>
      </c>
      <c r="J405" s="10" t="s">
        <v>26</v>
      </c>
      <c r="K405" s="9">
        <v>2023</v>
      </c>
    </row>
    <row r="406" spans="1:11" x14ac:dyDescent="0.35">
      <c r="A406" s="14" t="s">
        <v>11</v>
      </c>
      <c r="B406" s="10" t="s">
        <v>10</v>
      </c>
      <c r="C406" s="10" t="s">
        <v>24</v>
      </c>
      <c r="D406" s="12">
        <v>1754</v>
      </c>
      <c r="E406" s="13">
        <v>12</v>
      </c>
      <c r="F406" s="12">
        <f t="shared" si="12"/>
        <v>21048</v>
      </c>
      <c r="G406" s="12">
        <v>1101</v>
      </c>
      <c r="H406" s="12">
        <f t="shared" si="13"/>
        <v>19947</v>
      </c>
      <c r="I406" s="11">
        <v>44835</v>
      </c>
      <c r="J406" s="10" t="s">
        <v>12</v>
      </c>
      <c r="K406" s="9">
        <v>2022</v>
      </c>
    </row>
    <row r="407" spans="1:11" x14ac:dyDescent="0.35">
      <c r="A407" s="14" t="s">
        <v>7</v>
      </c>
      <c r="B407" s="10" t="s">
        <v>6</v>
      </c>
      <c r="C407" s="10" t="s">
        <v>9</v>
      </c>
      <c r="D407" s="12">
        <v>2167</v>
      </c>
      <c r="E407" s="13">
        <v>300</v>
      </c>
      <c r="F407" s="12">
        <f t="shared" si="12"/>
        <v>650100</v>
      </c>
      <c r="G407" s="12">
        <v>950625</v>
      </c>
      <c r="H407" s="12">
        <f t="shared" si="13"/>
        <v>-300525</v>
      </c>
      <c r="I407" s="11">
        <v>45017</v>
      </c>
      <c r="J407" s="10" t="s">
        <v>4</v>
      </c>
      <c r="K407" s="9">
        <v>2023</v>
      </c>
    </row>
    <row r="408" spans="1:11" x14ac:dyDescent="0.35">
      <c r="A408" s="14" t="s">
        <v>16</v>
      </c>
      <c r="B408" s="10" t="s">
        <v>15</v>
      </c>
      <c r="C408" s="10" t="s">
        <v>9</v>
      </c>
      <c r="D408" s="12">
        <v>1319</v>
      </c>
      <c r="E408" s="13">
        <v>350</v>
      </c>
      <c r="F408" s="12">
        <f t="shared" si="12"/>
        <v>461650</v>
      </c>
      <c r="G408" s="12">
        <v>433160</v>
      </c>
      <c r="H408" s="12">
        <f t="shared" si="13"/>
        <v>28490</v>
      </c>
      <c r="I408" s="11">
        <v>45047</v>
      </c>
      <c r="J408" s="10" t="s">
        <v>0</v>
      </c>
      <c r="K408" s="9">
        <v>2023</v>
      </c>
    </row>
    <row r="409" spans="1:11" x14ac:dyDescent="0.35">
      <c r="A409" s="14" t="s">
        <v>16</v>
      </c>
      <c r="B409" s="10" t="s">
        <v>15</v>
      </c>
      <c r="C409" s="10" t="s">
        <v>9</v>
      </c>
      <c r="D409" s="12">
        <v>1679</v>
      </c>
      <c r="E409" s="13">
        <v>300</v>
      </c>
      <c r="F409" s="12">
        <f t="shared" si="12"/>
        <v>503700</v>
      </c>
      <c r="G409" s="12">
        <v>80500</v>
      </c>
      <c r="H409" s="12">
        <f t="shared" si="13"/>
        <v>423200</v>
      </c>
      <c r="I409" s="11">
        <v>44805</v>
      </c>
      <c r="J409" s="10" t="s">
        <v>22</v>
      </c>
      <c r="K409" s="9">
        <v>2022</v>
      </c>
    </row>
    <row r="410" spans="1:11" x14ac:dyDescent="0.35">
      <c r="A410" s="14" t="s">
        <v>7</v>
      </c>
      <c r="B410" s="10" t="s">
        <v>6</v>
      </c>
      <c r="C410" s="10" t="s">
        <v>9</v>
      </c>
      <c r="D410" s="12">
        <v>1252</v>
      </c>
      <c r="E410" s="13">
        <v>12</v>
      </c>
      <c r="F410" s="12">
        <f t="shared" si="12"/>
        <v>15024</v>
      </c>
      <c r="G410" s="12">
        <v>6963</v>
      </c>
      <c r="H410" s="12">
        <f t="shared" si="13"/>
        <v>8061</v>
      </c>
      <c r="I410" s="11">
        <v>45231</v>
      </c>
      <c r="J410" s="10" t="s">
        <v>18</v>
      </c>
      <c r="K410" s="9">
        <v>2023</v>
      </c>
    </row>
    <row r="411" spans="1:11" x14ac:dyDescent="0.35">
      <c r="A411" s="14" t="s">
        <v>16</v>
      </c>
      <c r="B411" s="10" t="s">
        <v>15</v>
      </c>
      <c r="C411" s="10" t="s">
        <v>9</v>
      </c>
      <c r="D411" s="12">
        <v>3493</v>
      </c>
      <c r="E411" s="13">
        <v>125</v>
      </c>
      <c r="F411" s="12">
        <f t="shared" si="12"/>
        <v>436625</v>
      </c>
      <c r="G411" s="12">
        <v>222840</v>
      </c>
      <c r="H411" s="12">
        <f t="shared" si="13"/>
        <v>213785</v>
      </c>
      <c r="I411" s="11">
        <v>44866</v>
      </c>
      <c r="J411" s="10" t="s">
        <v>18</v>
      </c>
      <c r="K411" s="9">
        <v>2022</v>
      </c>
    </row>
    <row r="412" spans="1:11" x14ac:dyDescent="0.35">
      <c r="A412" s="14" t="s">
        <v>7</v>
      </c>
      <c r="B412" s="10" t="s">
        <v>6</v>
      </c>
      <c r="C412" s="10" t="s">
        <v>9</v>
      </c>
      <c r="D412" s="12">
        <v>1697</v>
      </c>
      <c r="E412" s="13">
        <v>7</v>
      </c>
      <c r="F412" s="12">
        <f t="shared" si="12"/>
        <v>11879</v>
      </c>
      <c r="G412" s="12">
        <v>8055</v>
      </c>
      <c r="H412" s="12">
        <f t="shared" si="13"/>
        <v>3824</v>
      </c>
      <c r="I412" s="11">
        <v>44896</v>
      </c>
      <c r="J412" s="10" t="s">
        <v>17</v>
      </c>
      <c r="K412" s="9">
        <v>2022</v>
      </c>
    </row>
    <row r="413" spans="1:11" x14ac:dyDescent="0.35">
      <c r="A413" s="14" t="s">
        <v>3</v>
      </c>
      <c r="B413" s="10" t="s">
        <v>2</v>
      </c>
      <c r="C413" s="10" t="s">
        <v>9</v>
      </c>
      <c r="D413" s="12">
        <v>1156</v>
      </c>
      <c r="E413" s="13">
        <v>125</v>
      </c>
      <c r="F413" s="12">
        <f t="shared" si="12"/>
        <v>144500</v>
      </c>
      <c r="G413" s="12">
        <v>335640</v>
      </c>
      <c r="H413" s="12">
        <f t="shared" si="13"/>
        <v>-191140</v>
      </c>
      <c r="I413" s="11">
        <v>45261</v>
      </c>
      <c r="J413" s="10" t="s">
        <v>17</v>
      </c>
      <c r="K413" s="9">
        <v>2023</v>
      </c>
    </row>
    <row r="414" spans="1:11" x14ac:dyDescent="0.35">
      <c r="A414" s="14" t="s">
        <v>19</v>
      </c>
      <c r="B414" s="10" t="s">
        <v>6</v>
      </c>
      <c r="C414" s="10" t="s">
        <v>9</v>
      </c>
      <c r="D414" s="12">
        <v>726</v>
      </c>
      <c r="E414" s="13">
        <v>300</v>
      </c>
      <c r="F414" s="12">
        <f t="shared" si="12"/>
        <v>217800</v>
      </c>
      <c r="G414" s="12">
        <v>83500</v>
      </c>
      <c r="H414" s="12">
        <f t="shared" si="13"/>
        <v>134300</v>
      </c>
      <c r="I414" s="11">
        <v>44896</v>
      </c>
      <c r="J414" s="10" t="s">
        <v>17</v>
      </c>
      <c r="K414" s="9">
        <v>2022</v>
      </c>
    </row>
    <row r="415" spans="1:11" x14ac:dyDescent="0.35">
      <c r="A415" s="14" t="s">
        <v>11</v>
      </c>
      <c r="B415" s="10" t="s">
        <v>10</v>
      </c>
      <c r="C415" s="10" t="s">
        <v>5</v>
      </c>
      <c r="D415" s="12">
        <v>1153</v>
      </c>
      <c r="E415" s="13">
        <v>300</v>
      </c>
      <c r="F415" s="12">
        <f t="shared" si="12"/>
        <v>345900</v>
      </c>
      <c r="G415" s="12">
        <v>641250</v>
      </c>
      <c r="H415" s="12">
        <f t="shared" si="13"/>
        <v>-295350</v>
      </c>
      <c r="I415" s="11">
        <v>44927</v>
      </c>
      <c r="J415" s="10" t="s">
        <v>25</v>
      </c>
      <c r="K415" s="9">
        <v>2023</v>
      </c>
    </row>
    <row r="416" spans="1:11" x14ac:dyDescent="0.35">
      <c r="A416" s="14" t="s">
        <v>11</v>
      </c>
      <c r="B416" s="10" t="s">
        <v>10</v>
      </c>
      <c r="C416" s="10" t="s">
        <v>5</v>
      </c>
      <c r="D416" s="12">
        <v>2720</v>
      </c>
      <c r="E416" s="13">
        <v>350</v>
      </c>
      <c r="F416" s="12">
        <f t="shared" si="12"/>
        <v>952000</v>
      </c>
      <c r="G416" s="12">
        <v>628420</v>
      </c>
      <c r="H416" s="12">
        <f t="shared" si="13"/>
        <v>323580</v>
      </c>
      <c r="I416" s="11">
        <v>44927</v>
      </c>
      <c r="J416" s="10" t="s">
        <v>25</v>
      </c>
      <c r="K416" s="9">
        <v>2023</v>
      </c>
    </row>
    <row r="417" spans="1:11" x14ac:dyDescent="0.35">
      <c r="A417" s="14" t="s">
        <v>3</v>
      </c>
      <c r="B417" s="10" t="s">
        <v>2</v>
      </c>
      <c r="C417" s="10" t="s">
        <v>5</v>
      </c>
      <c r="D417" s="12">
        <v>3658</v>
      </c>
      <c r="E417" s="13">
        <v>15</v>
      </c>
      <c r="F417" s="12">
        <f t="shared" si="12"/>
        <v>54870</v>
      </c>
      <c r="G417" s="12">
        <v>36750</v>
      </c>
      <c r="H417" s="12">
        <f t="shared" si="13"/>
        <v>18120</v>
      </c>
      <c r="I417" s="11">
        <v>45017</v>
      </c>
      <c r="J417" s="10" t="s">
        <v>4</v>
      </c>
      <c r="K417" s="9">
        <v>2023</v>
      </c>
    </row>
    <row r="418" spans="1:11" x14ac:dyDescent="0.35">
      <c r="A418" s="14" t="s">
        <v>7</v>
      </c>
      <c r="B418" s="10" t="s">
        <v>6</v>
      </c>
      <c r="C418" s="10" t="s">
        <v>5</v>
      </c>
      <c r="D418" s="12">
        <v>2950</v>
      </c>
      <c r="E418" s="13">
        <v>300</v>
      </c>
      <c r="F418" s="12">
        <f t="shared" si="12"/>
        <v>885000</v>
      </c>
      <c r="G418" s="12">
        <v>273500</v>
      </c>
      <c r="H418" s="12">
        <f t="shared" si="13"/>
        <v>611500</v>
      </c>
      <c r="I418" s="11">
        <v>45078</v>
      </c>
      <c r="J418" s="10" t="s">
        <v>26</v>
      </c>
      <c r="K418" s="9">
        <v>2023</v>
      </c>
    </row>
    <row r="419" spans="1:11" x14ac:dyDescent="0.35">
      <c r="A419" s="14" t="s">
        <v>16</v>
      </c>
      <c r="B419" s="10" t="s">
        <v>15</v>
      </c>
      <c r="C419" s="10" t="s">
        <v>5</v>
      </c>
      <c r="D419" s="12">
        <v>1821</v>
      </c>
      <c r="E419" s="13">
        <v>15</v>
      </c>
      <c r="F419" s="12">
        <f t="shared" si="12"/>
        <v>27315</v>
      </c>
      <c r="G419" s="12">
        <v>12270</v>
      </c>
      <c r="H419" s="12">
        <f t="shared" si="13"/>
        <v>15045</v>
      </c>
      <c r="I419" s="11">
        <v>45200</v>
      </c>
      <c r="J419" s="10" t="s">
        <v>12</v>
      </c>
      <c r="K419" s="9">
        <v>2023</v>
      </c>
    </row>
    <row r="420" spans="1:11" x14ac:dyDescent="0.35">
      <c r="A420" s="14" t="s">
        <v>11</v>
      </c>
      <c r="B420" s="10" t="s">
        <v>10</v>
      </c>
      <c r="C420" s="10" t="s">
        <v>5</v>
      </c>
      <c r="D420" s="12">
        <v>4174</v>
      </c>
      <c r="E420" s="13">
        <v>12</v>
      </c>
      <c r="F420" s="12">
        <f t="shared" si="12"/>
        <v>50088</v>
      </c>
      <c r="G420" s="12">
        <v>1101</v>
      </c>
      <c r="H420" s="12">
        <f t="shared" si="13"/>
        <v>48987</v>
      </c>
      <c r="I420" s="11">
        <v>44835</v>
      </c>
      <c r="J420" s="10" t="s">
        <v>12</v>
      </c>
      <c r="K420" s="9">
        <v>2022</v>
      </c>
    </row>
    <row r="421" spans="1:11" x14ac:dyDescent="0.35">
      <c r="A421" s="14" t="s">
        <v>16</v>
      </c>
      <c r="B421" s="10" t="s">
        <v>15</v>
      </c>
      <c r="C421" s="10" t="s">
        <v>5</v>
      </c>
      <c r="D421" s="12">
        <v>1127</v>
      </c>
      <c r="E421" s="13">
        <v>300</v>
      </c>
      <c r="F421" s="12">
        <f t="shared" si="12"/>
        <v>338100</v>
      </c>
      <c r="G421" s="12">
        <v>331000</v>
      </c>
      <c r="H421" s="12">
        <f t="shared" si="13"/>
        <v>7100</v>
      </c>
      <c r="I421" s="11">
        <v>45231</v>
      </c>
      <c r="J421" s="10" t="s">
        <v>18</v>
      </c>
      <c r="K421" s="9">
        <v>2023</v>
      </c>
    </row>
    <row r="422" spans="1:11" x14ac:dyDescent="0.35">
      <c r="A422" s="14" t="s">
        <v>19</v>
      </c>
      <c r="B422" s="10" t="s">
        <v>6</v>
      </c>
      <c r="C422" s="10" t="s">
        <v>5</v>
      </c>
      <c r="D422" s="12">
        <v>2209</v>
      </c>
      <c r="E422" s="13">
        <v>12</v>
      </c>
      <c r="F422" s="12">
        <f t="shared" si="12"/>
        <v>26508</v>
      </c>
      <c r="G422" s="12">
        <v>5325</v>
      </c>
      <c r="H422" s="12">
        <f t="shared" si="13"/>
        <v>21183</v>
      </c>
      <c r="I422" s="11">
        <v>44866</v>
      </c>
      <c r="J422" s="10" t="s">
        <v>18</v>
      </c>
      <c r="K422" s="9">
        <v>2022</v>
      </c>
    </row>
    <row r="423" spans="1:11" x14ac:dyDescent="0.35">
      <c r="A423" s="14" t="s">
        <v>3</v>
      </c>
      <c r="B423" s="10" t="s">
        <v>2</v>
      </c>
      <c r="C423" s="10" t="s">
        <v>5</v>
      </c>
      <c r="D423" s="12">
        <v>862</v>
      </c>
      <c r="E423" s="13">
        <v>125</v>
      </c>
      <c r="F423" s="12">
        <f t="shared" si="12"/>
        <v>107750</v>
      </c>
      <c r="G423" s="12">
        <v>335640</v>
      </c>
      <c r="H423" s="12">
        <f t="shared" si="13"/>
        <v>-227890</v>
      </c>
      <c r="I423" s="11">
        <v>45261</v>
      </c>
      <c r="J423" s="10" t="s">
        <v>17</v>
      </c>
      <c r="K423" s="9">
        <v>2023</v>
      </c>
    </row>
    <row r="424" spans="1:11" x14ac:dyDescent="0.35">
      <c r="A424" s="14" t="s">
        <v>11</v>
      </c>
      <c r="B424" s="10" t="s">
        <v>10</v>
      </c>
      <c r="C424" s="10" t="s">
        <v>21</v>
      </c>
      <c r="D424" s="12">
        <v>3805</v>
      </c>
      <c r="E424" s="13">
        <v>15</v>
      </c>
      <c r="F424" s="12">
        <f t="shared" si="12"/>
        <v>57075</v>
      </c>
      <c r="G424" s="12">
        <v>2450</v>
      </c>
      <c r="H424" s="12">
        <f t="shared" si="13"/>
        <v>54625</v>
      </c>
      <c r="I424" s="11">
        <v>45047</v>
      </c>
      <c r="J424" s="10" t="s">
        <v>0</v>
      </c>
      <c r="K424" s="9">
        <v>2023</v>
      </c>
    </row>
    <row r="425" spans="1:11" x14ac:dyDescent="0.35">
      <c r="A425" s="14" t="s">
        <v>7</v>
      </c>
      <c r="B425" s="10" t="s">
        <v>6</v>
      </c>
      <c r="C425" s="10" t="s">
        <v>21</v>
      </c>
      <c r="D425" s="12">
        <v>1415</v>
      </c>
      <c r="E425" s="13">
        <v>300</v>
      </c>
      <c r="F425" s="12">
        <f t="shared" si="12"/>
        <v>424500</v>
      </c>
      <c r="G425" s="12">
        <v>948375</v>
      </c>
      <c r="H425" s="12">
        <f t="shared" si="13"/>
        <v>-523875</v>
      </c>
      <c r="I425" s="11">
        <v>45108</v>
      </c>
      <c r="J425" s="10" t="s">
        <v>20</v>
      </c>
      <c r="K425" s="9">
        <v>2023</v>
      </c>
    </row>
    <row r="426" spans="1:11" x14ac:dyDescent="0.35">
      <c r="A426" s="14" t="s">
        <v>19</v>
      </c>
      <c r="B426" s="10" t="s">
        <v>6</v>
      </c>
      <c r="C426" s="10" t="s">
        <v>21</v>
      </c>
      <c r="D426" s="12">
        <v>2231</v>
      </c>
      <c r="E426" s="13">
        <v>350</v>
      </c>
      <c r="F426" s="12">
        <f t="shared" si="12"/>
        <v>780850</v>
      </c>
      <c r="G426" s="12">
        <v>339820</v>
      </c>
      <c r="H426" s="12">
        <f t="shared" si="13"/>
        <v>441030</v>
      </c>
      <c r="I426" s="11">
        <v>45108</v>
      </c>
      <c r="J426" s="10" t="s">
        <v>20</v>
      </c>
      <c r="K426" s="9">
        <v>2023</v>
      </c>
    </row>
    <row r="427" spans="1:11" x14ac:dyDescent="0.35">
      <c r="A427" s="14" t="s">
        <v>7</v>
      </c>
      <c r="B427" s="10" t="s">
        <v>6</v>
      </c>
      <c r="C427" s="10" t="s">
        <v>21</v>
      </c>
      <c r="D427" s="12">
        <v>3649</v>
      </c>
      <c r="E427" s="13">
        <v>125</v>
      </c>
      <c r="F427" s="12">
        <f t="shared" si="12"/>
        <v>456125</v>
      </c>
      <c r="G427" s="12">
        <v>68040</v>
      </c>
      <c r="H427" s="12">
        <f t="shared" si="13"/>
        <v>388085</v>
      </c>
      <c r="I427" s="11">
        <v>45170</v>
      </c>
      <c r="J427" s="10" t="s">
        <v>22</v>
      </c>
      <c r="K427" s="9">
        <v>2023</v>
      </c>
    </row>
    <row r="428" spans="1:11" x14ac:dyDescent="0.35">
      <c r="A428" s="14" t="s">
        <v>11</v>
      </c>
      <c r="B428" s="10" t="s">
        <v>10</v>
      </c>
      <c r="C428" s="10" t="s">
        <v>21</v>
      </c>
      <c r="D428" s="12">
        <v>2948</v>
      </c>
      <c r="E428" s="13">
        <v>125</v>
      </c>
      <c r="F428" s="12">
        <f t="shared" si="12"/>
        <v>368500</v>
      </c>
      <c r="G428" s="12">
        <v>253200</v>
      </c>
      <c r="H428" s="12">
        <f t="shared" si="13"/>
        <v>115300</v>
      </c>
      <c r="I428" s="11">
        <v>45170</v>
      </c>
      <c r="J428" s="10" t="s">
        <v>22</v>
      </c>
      <c r="K428" s="9">
        <v>2023</v>
      </c>
    </row>
    <row r="429" spans="1:11" x14ac:dyDescent="0.35">
      <c r="A429" s="14" t="s">
        <v>7</v>
      </c>
      <c r="B429" s="10" t="s">
        <v>6</v>
      </c>
      <c r="C429" s="10" t="s">
        <v>21</v>
      </c>
      <c r="D429" s="12">
        <v>3395</v>
      </c>
      <c r="E429" s="13">
        <v>350</v>
      </c>
      <c r="F429" s="12">
        <f t="shared" si="12"/>
        <v>1188250</v>
      </c>
      <c r="G429" s="12">
        <v>329940</v>
      </c>
      <c r="H429" s="12">
        <f t="shared" si="13"/>
        <v>858310</v>
      </c>
      <c r="I429" s="11">
        <v>45200</v>
      </c>
      <c r="J429" s="10" t="s">
        <v>12</v>
      </c>
      <c r="K429" s="9">
        <v>2023</v>
      </c>
    </row>
    <row r="430" spans="1:11" x14ac:dyDescent="0.35">
      <c r="A430" s="14" t="s">
        <v>3</v>
      </c>
      <c r="B430" s="10" t="s">
        <v>2</v>
      </c>
      <c r="C430" s="10" t="s">
        <v>1</v>
      </c>
      <c r="D430" s="12">
        <v>2650</v>
      </c>
      <c r="E430" s="13">
        <v>12</v>
      </c>
      <c r="F430" s="12">
        <f t="shared" si="12"/>
        <v>31800</v>
      </c>
      <c r="G430" s="12">
        <v>5868</v>
      </c>
      <c r="H430" s="12">
        <f t="shared" si="13"/>
        <v>25932</v>
      </c>
      <c r="I430" s="11">
        <v>44927</v>
      </c>
      <c r="J430" s="10" t="s">
        <v>25</v>
      </c>
      <c r="K430" s="9">
        <v>2023</v>
      </c>
    </row>
    <row r="431" spans="1:11" x14ac:dyDescent="0.35">
      <c r="A431" s="14" t="s">
        <v>19</v>
      </c>
      <c r="B431" s="10" t="s">
        <v>6</v>
      </c>
      <c r="C431" s="10" t="s">
        <v>1</v>
      </c>
      <c r="D431" s="12">
        <v>585</v>
      </c>
      <c r="E431" s="13">
        <v>300</v>
      </c>
      <c r="F431" s="12">
        <f t="shared" si="12"/>
        <v>175500</v>
      </c>
      <c r="G431" s="12">
        <v>664750</v>
      </c>
      <c r="H431" s="12">
        <f t="shared" si="13"/>
        <v>-489250</v>
      </c>
      <c r="I431" s="11">
        <v>44958</v>
      </c>
      <c r="J431" s="10" t="s">
        <v>8</v>
      </c>
      <c r="K431" s="9">
        <v>2023</v>
      </c>
    </row>
    <row r="432" spans="1:11" x14ac:dyDescent="0.35">
      <c r="A432" s="14" t="s">
        <v>3</v>
      </c>
      <c r="B432" s="10" t="s">
        <v>2</v>
      </c>
      <c r="C432" s="10" t="s">
        <v>1</v>
      </c>
      <c r="D432" s="12">
        <v>1316</v>
      </c>
      <c r="E432" s="13">
        <v>350</v>
      </c>
      <c r="F432" s="12">
        <f t="shared" si="12"/>
        <v>460600</v>
      </c>
      <c r="G432" s="12">
        <v>351390</v>
      </c>
      <c r="H432" s="12">
        <f t="shared" si="13"/>
        <v>109210</v>
      </c>
      <c r="I432" s="11">
        <v>45017</v>
      </c>
      <c r="J432" s="10" t="s">
        <v>4</v>
      </c>
      <c r="K432" s="9">
        <v>2023</v>
      </c>
    </row>
    <row r="433" spans="1:11" x14ac:dyDescent="0.35">
      <c r="A433" s="14" t="s">
        <v>19</v>
      </c>
      <c r="B433" s="10" t="s">
        <v>6</v>
      </c>
      <c r="C433" s="10" t="s">
        <v>1</v>
      </c>
      <c r="D433" s="12">
        <v>4459</v>
      </c>
      <c r="E433" s="13">
        <v>12</v>
      </c>
      <c r="F433" s="12">
        <f t="shared" si="12"/>
        <v>53508</v>
      </c>
      <c r="G433" s="12">
        <v>2640</v>
      </c>
      <c r="H433" s="12">
        <f t="shared" si="13"/>
        <v>50868</v>
      </c>
      <c r="I433" s="11">
        <v>45047</v>
      </c>
      <c r="J433" s="10" t="s">
        <v>0</v>
      </c>
      <c r="K433" s="9">
        <v>2023</v>
      </c>
    </row>
    <row r="434" spans="1:11" x14ac:dyDescent="0.35">
      <c r="A434" s="14" t="s">
        <v>3</v>
      </c>
      <c r="B434" s="10" t="s">
        <v>2</v>
      </c>
      <c r="C434" s="10" t="s">
        <v>1</v>
      </c>
      <c r="D434" s="12">
        <v>2711</v>
      </c>
      <c r="E434" s="13">
        <v>300</v>
      </c>
      <c r="F434" s="12">
        <f t="shared" si="12"/>
        <v>813300</v>
      </c>
      <c r="G434" s="12">
        <v>466750</v>
      </c>
      <c r="H434" s="12">
        <f t="shared" si="13"/>
        <v>346550</v>
      </c>
      <c r="I434" s="11">
        <v>45170</v>
      </c>
      <c r="J434" s="10" t="s">
        <v>22</v>
      </c>
      <c r="K434" s="9">
        <v>2023</v>
      </c>
    </row>
    <row r="435" spans="1:11" x14ac:dyDescent="0.35">
      <c r="A435" s="14" t="s">
        <v>16</v>
      </c>
      <c r="B435" s="10" t="s">
        <v>15</v>
      </c>
      <c r="C435" s="10" t="s">
        <v>1</v>
      </c>
      <c r="D435" s="12">
        <v>2621</v>
      </c>
      <c r="E435" s="13">
        <v>12</v>
      </c>
      <c r="F435" s="12">
        <f t="shared" si="12"/>
        <v>31452</v>
      </c>
      <c r="G435" s="12">
        <v>6702</v>
      </c>
      <c r="H435" s="12">
        <f t="shared" si="13"/>
        <v>24750</v>
      </c>
      <c r="I435" s="11">
        <v>44805</v>
      </c>
      <c r="J435" s="10" t="s">
        <v>22</v>
      </c>
      <c r="K435" s="9">
        <v>2022</v>
      </c>
    </row>
    <row r="436" spans="1:11" x14ac:dyDescent="0.35">
      <c r="A436" s="14" t="s">
        <v>16</v>
      </c>
      <c r="B436" s="10" t="s">
        <v>15</v>
      </c>
      <c r="C436" s="10" t="s">
        <v>1</v>
      </c>
      <c r="D436" s="12">
        <v>3613</v>
      </c>
      <c r="E436" s="13">
        <v>15</v>
      </c>
      <c r="F436" s="12">
        <f t="shared" si="12"/>
        <v>54195</v>
      </c>
      <c r="G436" s="12">
        <v>12270</v>
      </c>
      <c r="H436" s="12">
        <f t="shared" si="13"/>
        <v>41925</v>
      </c>
      <c r="I436" s="11">
        <v>45200</v>
      </c>
      <c r="J436" s="10" t="s">
        <v>12</v>
      </c>
      <c r="K436" s="9">
        <v>2023</v>
      </c>
    </row>
    <row r="437" spans="1:11" x14ac:dyDescent="0.35">
      <c r="A437" s="14" t="s">
        <v>11</v>
      </c>
      <c r="B437" s="10" t="s">
        <v>10</v>
      </c>
      <c r="C437" s="10" t="s">
        <v>1</v>
      </c>
      <c r="D437" s="12">
        <v>1847</v>
      </c>
      <c r="E437" s="13">
        <v>125</v>
      </c>
      <c r="F437" s="12">
        <f t="shared" si="12"/>
        <v>230875</v>
      </c>
      <c r="G437" s="12">
        <v>105240</v>
      </c>
      <c r="H437" s="12">
        <f t="shared" si="13"/>
        <v>125635</v>
      </c>
      <c r="I437" s="11">
        <v>45231</v>
      </c>
      <c r="J437" s="10" t="s">
        <v>18</v>
      </c>
      <c r="K437" s="9">
        <v>2023</v>
      </c>
    </row>
    <row r="438" spans="1:11" x14ac:dyDescent="0.35">
      <c r="A438" s="14" t="s">
        <v>3</v>
      </c>
      <c r="B438" s="10" t="s">
        <v>2</v>
      </c>
      <c r="C438" s="10" t="s">
        <v>13</v>
      </c>
      <c r="D438" s="12">
        <v>2996</v>
      </c>
      <c r="E438" s="13">
        <v>350</v>
      </c>
      <c r="F438" s="12">
        <f t="shared" si="12"/>
        <v>1048600</v>
      </c>
      <c r="G438" s="12">
        <v>538460</v>
      </c>
      <c r="H438" s="12">
        <f t="shared" si="13"/>
        <v>510140</v>
      </c>
      <c r="I438" s="11">
        <v>45170</v>
      </c>
      <c r="J438" s="10" t="s">
        <v>22</v>
      </c>
      <c r="K438" s="9">
        <v>2023</v>
      </c>
    </row>
    <row r="439" spans="1:11" x14ac:dyDescent="0.35">
      <c r="A439" s="14" t="s">
        <v>7</v>
      </c>
      <c r="B439" s="10" t="s">
        <v>6</v>
      </c>
      <c r="C439" s="10" t="s">
        <v>13</v>
      </c>
      <c r="D439" s="12">
        <v>2838</v>
      </c>
      <c r="E439" s="13">
        <v>350</v>
      </c>
      <c r="F439" s="12">
        <f t="shared" si="12"/>
        <v>993300</v>
      </c>
      <c r="G439" s="12">
        <v>329940</v>
      </c>
      <c r="H439" s="12">
        <f t="shared" si="13"/>
        <v>663360</v>
      </c>
      <c r="I439" s="11">
        <v>45200</v>
      </c>
      <c r="J439" s="10" t="s">
        <v>12</v>
      </c>
      <c r="K439" s="9">
        <v>2023</v>
      </c>
    </row>
    <row r="440" spans="1:11" x14ac:dyDescent="0.35">
      <c r="A440" s="14" t="s">
        <v>19</v>
      </c>
      <c r="B440" s="10" t="s">
        <v>6</v>
      </c>
      <c r="C440" s="10" t="s">
        <v>13</v>
      </c>
      <c r="D440" s="12">
        <v>1302</v>
      </c>
      <c r="E440" s="13">
        <v>15</v>
      </c>
      <c r="F440" s="12">
        <f t="shared" si="12"/>
        <v>19530</v>
      </c>
      <c r="G440" s="12">
        <v>9700</v>
      </c>
      <c r="H440" s="12">
        <f t="shared" si="13"/>
        <v>9830</v>
      </c>
      <c r="I440" s="11">
        <v>44866</v>
      </c>
      <c r="J440" s="10" t="s">
        <v>18</v>
      </c>
      <c r="K440" s="9">
        <v>2022</v>
      </c>
    </row>
    <row r="441" spans="1:11" x14ac:dyDescent="0.35">
      <c r="A441" s="14" t="s">
        <v>11</v>
      </c>
      <c r="B441" s="10" t="s">
        <v>10</v>
      </c>
      <c r="C441" s="10" t="s">
        <v>13</v>
      </c>
      <c r="D441" s="12">
        <v>1536</v>
      </c>
      <c r="E441" s="13">
        <v>20</v>
      </c>
      <c r="F441" s="12">
        <f t="shared" si="12"/>
        <v>30720</v>
      </c>
      <c r="G441" s="12">
        <v>16940</v>
      </c>
      <c r="H441" s="12">
        <f t="shared" si="13"/>
        <v>13780</v>
      </c>
      <c r="I441" s="11">
        <v>45231</v>
      </c>
      <c r="J441" s="10" t="s">
        <v>18</v>
      </c>
      <c r="K441" s="9">
        <v>2023</v>
      </c>
    </row>
    <row r="442" spans="1:11" x14ac:dyDescent="0.35">
      <c r="A442" s="14" t="s">
        <v>19</v>
      </c>
      <c r="B442" s="10" t="s">
        <v>6</v>
      </c>
      <c r="C442" s="10" t="s">
        <v>24</v>
      </c>
      <c r="D442" s="12">
        <v>1291</v>
      </c>
      <c r="E442" s="13">
        <v>20</v>
      </c>
      <c r="F442" s="12">
        <f t="shared" si="12"/>
        <v>25820</v>
      </c>
      <c r="G442" s="12">
        <v>6630</v>
      </c>
      <c r="H442" s="12">
        <f t="shared" si="13"/>
        <v>19190</v>
      </c>
      <c r="I442" s="11">
        <v>45047</v>
      </c>
      <c r="J442" s="10" t="s">
        <v>0</v>
      </c>
      <c r="K442" s="9">
        <v>2023</v>
      </c>
    </row>
    <row r="443" spans="1:11" x14ac:dyDescent="0.35">
      <c r="A443" s="14" t="s">
        <v>7</v>
      </c>
      <c r="B443" s="10" t="s">
        <v>6</v>
      </c>
      <c r="C443" s="10" t="s">
        <v>24</v>
      </c>
      <c r="D443" s="12">
        <v>1213</v>
      </c>
      <c r="E443" s="13">
        <v>7</v>
      </c>
      <c r="F443" s="12">
        <f t="shared" si="12"/>
        <v>8491</v>
      </c>
      <c r="G443" s="12">
        <v>4095</v>
      </c>
      <c r="H443" s="12">
        <f t="shared" si="13"/>
        <v>4396</v>
      </c>
      <c r="I443" s="11">
        <v>45108</v>
      </c>
      <c r="J443" s="10" t="s">
        <v>20</v>
      </c>
      <c r="K443" s="9">
        <v>2023</v>
      </c>
    </row>
    <row r="444" spans="1:11" x14ac:dyDescent="0.35">
      <c r="A444" s="14" t="s">
        <v>19</v>
      </c>
      <c r="B444" s="10" t="s">
        <v>6</v>
      </c>
      <c r="C444" s="10" t="s">
        <v>24</v>
      </c>
      <c r="D444" s="12">
        <v>2370</v>
      </c>
      <c r="E444" s="13">
        <v>12</v>
      </c>
      <c r="F444" s="12">
        <f t="shared" si="12"/>
        <v>28440</v>
      </c>
      <c r="G444" s="12">
        <v>4740</v>
      </c>
      <c r="H444" s="12">
        <f t="shared" si="13"/>
        <v>23700</v>
      </c>
      <c r="I444" s="11">
        <v>45170</v>
      </c>
      <c r="J444" s="10" t="s">
        <v>22</v>
      </c>
      <c r="K444" s="9">
        <v>2023</v>
      </c>
    </row>
    <row r="445" spans="1:11" x14ac:dyDescent="0.35">
      <c r="A445" s="14" t="s">
        <v>11</v>
      </c>
      <c r="B445" s="10" t="s">
        <v>10</v>
      </c>
      <c r="C445" s="10" t="s">
        <v>24</v>
      </c>
      <c r="D445" s="12">
        <v>1979</v>
      </c>
      <c r="E445" s="13">
        <v>7</v>
      </c>
      <c r="F445" s="12">
        <f t="shared" si="12"/>
        <v>13853</v>
      </c>
      <c r="G445" s="12">
        <v>2605</v>
      </c>
      <c r="H445" s="12">
        <f t="shared" si="13"/>
        <v>11248</v>
      </c>
      <c r="I445" s="11">
        <v>45261</v>
      </c>
      <c r="J445" s="10" t="s">
        <v>17</v>
      </c>
      <c r="K445" s="9">
        <v>2023</v>
      </c>
    </row>
    <row r="446" spans="1:11" x14ac:dyDescent="0.35">
      <c r="A446" s="14" t="s">
        <v>3</v>
      </c>
      <c r="B446" s="10" t="s">
        <v>2</v>
      </c>
      <c r="C446" s="10" t="s">
        <v>5</v>
      </c>
      <c r="D446" s="12">
        <v>2879</v>
      </c>
      <c r="E446" s="13">
        <v>20</v>
      </c>
      <c r="F446" s="12">
        <f t="shared" si="12"/>
        <v>57580</v>
      </c>
      <c r="G446" s="12">
        <v>9730</v>
      </c>
      <c r="H446" s="12">
        <f t="shared" si="13"/>
        <v>47850</v>
      </c>
      <c r="I446" s="11">
        <v>44986</v>
      </c>
      <c r="J446" s="10" t="s">
        <v>14</v>
      </c>
      <c r="K446" s="9">
        <v>2023</v>
      </c>
    </row>
    <row r="447" spans="1:11" x14ac:dyDescent="0.35">
      <c r="A447" s="14" t="s">
        <v>11</v>
      </c>
      <c r="B447" s="10" t="s">
        <v>10</v>
      </c>
      <c r="C447" s="10" t="s">
        <v>5</v>
      </c>
      <c r="D447" s="12">
        <v>1707</v>
      </c>
      <c r="E447" s="13">
        <v>20</v>
      </c>
      <c r="F447" s="12">
        <f t="shared" si="12"/>
        <v>34140</v>
      </c>
      <c r="G447" s="12">
        <v>10380</v>
      </c>
      <c r="H447" s="12">
        <f t="shared" si="13"/>
        <v>23760</v>
      </c>
      <c r="I447" s="11">
        <v>45078</v>
      </c>
      <c r="J447" s="10" t="s">
        <v>26</v>
      </c>
      <c r="K447" s="9">
        <v>2023</v>
      </c>
    </row>
    <row r="448" spans="1:11" x14ac:dyDescent="0.35">
      <c r="A448" s="14" t="s">
        <v>19</v>
      </c>
      <c r="B448" s="10" t="s">
        <v>6</v>
      </c>
      <c r="C448" s="10" t="s">
        <v>5</v>
      </c>
      <c r="D448" s="12">
        <v>2933</v>
      </c>
      <c r="E448" s="13">
        <v>7</v>
      </c>
      <c r="F448" s="12">
        <f t="shared" si="12"/>
        <v>20531</v>
      </c>
      <c r="G448" s="12">
        <v>1800</v>
      </c>
      <c r="H448" s="12">
        <f t="shared" si="13"/>
        <v>18731</v>
      </c>
      <c r="I448" s="11">
        <v>45200</v>
      </c>
      <c r="J448" s="10" t="s">
        <v>12</v>
      </c>
      <c r="K448" s="9">
        <v>2023</v>
      </c>
    </row>
    <row r="449" spans="1:11" x14ac:dyDescent="0.35">
      <c r="A449" s="14" t="s">
        <v>16</v>
      </c>
      <c r="B449" s="10" t="s">
        <v>15</v>
      </c>
      <c r="C449" s="10" t="s">
        <v>21</v>
      </c>
      <c r="D449" s="12">
        <v>1014</v>
      </c>
      <c r="E449" s="13">
        <v>12</v>
      </c>
      <c r="F449" s="12">
        <f t="shared" si="12"/>
        <v>12168</v>
      </c>
      <c r="G449" s="12">
        <v>5901</v>
      </c>
      <c r="H449" s="12">
        <f t="shared" si="13"/>
        <v>6267</v>
      </c>
      <c r="I449" s="11">
        <v>44986</v>
      </c>
      <c r="J449" s="10" t="s">
        <v>14</v>
      </c>
      <c r="K449" s="9">
        <v>2023</v>
      </c>
    </row>
    <row r="450" spans="1:11" x14ac:dyDescent="0.35">
      <c r="A450" s="14" t="s">
        <v>11</v>
      </c>
      <c r="B450" s="10" t="s">
        <v>10</v>
      </c>
      <c r="C450" s="10" t="s">
        <v>21</v>
      </c>
      <c r="D450" s="12">
        <v>693</v>
      </c>
      <c r="E450" s="13">
        <v>15</v>
      </c>
      <c r="F450" s="12">
        <f t="shared" ref="F450:F513" si="14">SUM(D450*E450)</f>
        <v>10395</v>
      </c>
      <c r="G450" s="12">
        <v>26280</v>
      </c>
      <c r="H450" s="12">
        <f t="shared" ref="H450:H513" si="15">F450-G450</f>
        <v>-15885</v>
      </c>
      <c r="I450" s="11">
        <v>45017</v>
      </c>
      <c r="J450" s="10" t="s">
        <v>4</v>
      </c>
      <c r="K450" s="9">
        <v>2023</v>
      </c>
    </row>
    <row r="451" spans="1:11" x14ac:dyDescent="0.35">
      <c r="A451" s="14" t="s">
        <v>19</v>
      </c>
      <c r="B451" s="10" t="s">
        <v>6</v>
      </c>
      <c r="C451" s="10" t="s">
        <v>1</v>
      </c>
      <c r="D451" s="12">
        <v>3741</v>
      </c>
      <c r="E451" s="13">
        <v>7</v>
      </c>
      <c r="F451" s="12">
        <f t="shared" si="14"/>
        <v>26187</v>
      </c>
      <c r="G451" s="12">
        <v>1800</v>
      </c>
      <c r="H451" s="12">
        <f t="shared" si="15"/>
        <v>24387</v>
      </c>
      <c r="I451" s="11">
        <v>45200</v>
      </c>
      <c r="J451" s="10" t="s">
        <v>12</v>
      </c>
      <c r="K451" s="9">
        <v>2023</v>
      </c>
    </row>
    <row r="452" spans="1:11" x14ac:dyDescent="0.35">
      <c r="A452" s="14" t="s">
        <v>16</v>
      </c>
      <c r="B452" s="10" t="s">
        <v>15</v>
      </c>
      <c r="C452" s="10" t="s">
        <v>1</v>
      </c>
      <c r="D452" s="12">
        <v>3116</v>
      </c>
      <c r="E452" s="13">
        <v>20</v>
      </c>
      <c r="F452" s="12">
        <f t="shared" si="14"/>
        <v>62320</v>
      </c>
      <c r="G452" s="12">
        <v>26820</v>
      </c>
      <c r="H452" s="12">
        <f t="shared" si="15"/>
        <v>35500</v>
      </c>
      <c r="I452" s="11">
        <v>44866</v>
      </c>
      <c r="J452" s="10" t="s">
        <v>18</v>
      </c>
      <c r="K452" s="9">
        <v>2022</v>
      </c>
    </row>
    <row r="453" spans="1:11" x14ac:dyDescent="0.35">
      <c r="A453" s="14" t="s">
        <v>11</v>
      </c>
      <c r="B453" s="10" t="s">
        <v>10</v>
      </c>
      <c r="C453" s="10" t="s">
        <v>1</v>
      </c>
      <c r="D453" s="12">
        <v>3995</v>
      </c>
      <c r="E453" s="13">
        <v>7</v>
      </c>
      <c r="F453" s="12">
        <f t="shared" si="14"/>
        <v>27965</v>
      </c>
      <c r="G453" s="12">
        <v>2605</v>
      </c>
      <c r="H453" s="12">
        <f t="shared" si="15"/>
        <v>25360</v>
      </c>
      <c r="I453" s="11">
        <v>45261</v>
      </c>
      <c r="J453" s="10" t="s">
        <v>17</v>
      </c>
      <c r="K453" s="9">
        <v>2023</v>
      </c>
    </row>
    <row r="454" spans="1:11" x14ac:dyDescent="0.35">
      <c r="A454" s="14" t="s">
        <v>11</v>
      </c>
      <c r="B454" s="10" t="s">
        <v>10</v>
      </c>
      <c r="C454" s="10" t="s">
        <v>13</v>
      </c>
      <c r="D454" s="12">
        <v>953</v>
      </c>
      <c r="E454" s="13">
        <v>20</v>
      </c>
      <c r="F454" s="12">
        <f t="shared" si="14"/>
        <v>19060</v>
      </c>
      <c r="G454" s="12">
        <v>10380</v>
      </c>
      <c r="H454" s="12">
        <f t="shared" si="15"/>
        <v>8680</v>
      </c>
      <c r="I454" s="11">
        <v>45078</v>
      </c>
      <c r="J454" s="10" t="s">
        <v>26</v>
      </c>
      <c r="K454" s="9">
        <v>2023</v>
      </c>
    </row>
    <row r="455" spans="1:11" x14ac:dyDescent="0.35">
      <c r="A455" s="14" t="s">
        <v>7</v>
      </c>
      <c r="B455" s="10" t="s">
        <v>6</v>
      </c>
      <c r="C455" s="10" t="s">
        <v>13</v>
      </c>
      <c r="D455" s="12">
        <v>2530</v>
      </c>
      <c r="E455" s="13">
        <v>15</v>
      </c>
      <c r="F455" s="12">
        <f t="shared" si="14"/>
        <v>37950</v>
      </c>
      <c r="G455" s="12">
        <v>16305</v>
      </c>
      <c r="H455" s="12">
        <f t="shared" si="15"/>
        <v>21645</v>
      </c>
      <c r="I455" s="11">
        <v>45108</v>
      </c>
      <c r="J455" s="10" t="s">
        <v>20</v>
      </c>
      <c r="K455" s="9">
        <v>2023</v>
      </c>
    </row>
    <row r="456" spans="1:11" x14ac:dyDescent="0.35">
      <c r="A456" s="14" t="s">
        <v>16</v>
      </c>
      <c r="B456" s="10" t="s">
        <v>15</v>
      </c>
      <c r="C456" s="10" t="s">
        <v>13</v>
      </c>
      <c r="D456" s="12">
        <v>2565</v>
      </c>
      <c r="E456" s="13">
        <v>12</v>
      </c>
      <c r="F456" s="12">
        <f t="shared" si="14"/>
        <v>30780</v>
      </c>
      <c r="G456" s="12">
        <v>918</v>
      </c>
      <c r="H456" s="12">
        <f t="shared" si="15"/>
        <v>29862</v>
      </c>
      <c r="I456" s="11">
        <v>44896</v>
      </c>
      <c r="J456" s="10" t="s">
        <v>17</v>
      </c>
      <c r="K456" s="9">
        <v>2022</v>
      </c>
    </row>
    <row r="457" spans="1:11" x14ac:dyDescent="0.35">
      <c r="A457" s="14" t="s">
        <v>3</v>
      </c>
      <c r="B457" s="10" t="s">
        <v>2</v>
      </c>
      <c r="C457" s="10" t="s">
        <v>24</v>
      </c>
      <c r="D457" s="12">
        <v>4297</v>
      </c>
      <c r="E457" s="13">
        <v>12</v>
      </c>
      <c r="F457" s="12">
        <f t="shared" si="14"/>
        <v>51564</v>
      </c>
      <c r="G457" s="12">
        <v>1158</v>
      </c>
      <c r="H457" s="12">
        <f t="shared" si="15"/>
        <v>50406</v>
      </c>
      <c r="I457" s="11">
        <v>44835</v>
      </c>
      <c r="J457" s="10" t="s">
        <v>12</v>
      </c>
      <c r="K457" s="9">
        <v>2022</v>
      </c>
    </row>
    <row r="458" spans="1:11" x14ac:dyDescent="0.35">
      <c r="A458" s="14" t="s">
        <v>3</v>
      </c>
      <c r="B458" s="10" t="s">
        <v>2</v>
      </c>
      <c r="C458" s="10" t="s">
        <v>9</v>
      </c>
      <c r="D458" s="12">
        <v>2871</v>
      </c>
      <c r="E458" s="13">
        <v>7</v>
      </c>
      <c r="F458" s="12">
        <f t="shared" si="14"/>
        <v>20097</v>
      </c>
      <c r="G458" s="12">
        <v>11640</v>
      </c>
      <c r="H458" s="12">
        <f t="shared" si="15"/>
        <v>8457</v>
      </c>
      <c r="I458" s="11">
        <v>45170</v>
      </c>
      <c r="J458" s="10" t="s">
        <v>22</v>
      </c>
      <c r="K458" s="9">
        <v>2023</v>
      </c>
    </row>
    <row r="459" spans="1:11" x14ac:dyDescent="0.35">
      <c r="A459" s="14" t="s">
        <v>3</v>
      </c>
      <c r="B459" s="10" t="s">
        <v>2</v>
      </c>
      <c r="C459" s="10" t="s">
        <v>5</v>
      </c>
      <c r="D459" s="12">
        <v>3537</v>
      </c>
      <c r="E459" s="13">
        <v>12</v>
      </c>
      <c r="F459" s="12">
        <f t="shared" si="14"/>
        <v>42444</v>
      </c>
      <c r="G459" s="12">
        <v>1158</v>
      </c>
      <c r="H459" s="12">
        <f t="shared" si="15"/>
        <v>41286</v>
      </c>
      <c r="I459" s="11">
        <v>44835</v>
      </c>
      <c r="J459" s="10" t="s">
        <v>12</v>
      </c>
      <c r="K459" s="9">
        <v>2022</v>
      </c>
    </row>
    <row r="460" spans="1:11" x14ac:dyDescent="0.35">
      <c r="A460" s="14" t="s">
        <v>3</v>
      </c>
      <c r="B460" s="10" t="s">
        <v>2</v>
      </c>
      <c r="C460" s="10" t="s">
        <v>24</v>
      </c>
      <c r="D460" s="12">
        <v>1598</v>
      </c>
      <c r="E460" s="13">
        <v>125</v>
      </c>
      <c r="F460" s="12">
        <f t="shared" si="14"/>
        <v>199750</v>
      </c>
      <c r="G460" s="12">
        <v>413460</v>
      </c>
      <c r="H460" s="12">
        <f t="shared" si="15"/>
        <v>-213710</v>
      </c>
      <c r="I460" s="11">
        <v>45017</v>
      </c>
      <c r="J460" s="10" t="s">
        <v>4</v>
      </c>
      <c r="K460" s="9">
        <v>2023</v>
      </c>
    </row>
    <row r="461" spans="1:11" x14ac:dyDescent="0.35">
      <c r="A461" s="14" t="s">
        <v>16</v>
      </c>
      <c r="B461" s="10" t="s">
        <v>15</v>
      </c>
      <c r="C461" s="10" t="s">
        <v>24</v>
      </c>
      <c r="D461" s="12">
        <v>2616</v>
      </c>
      <c r="E461" s="13">
        <v>125</v>
      </c>
      <c r="F461" s="12">
        <f t="shared" si="14"/>
        <v>327000</v>
      </c>
      <c r="G461" s="12">
        <v>177840</v>
      </c>
      <c r="H461" s="12">
        <f t="shared" si="15"/>
        <v>149160</v>
      </c>
      <c r="I461" s="11">
        <v>44896</v>
      </c>
      <c r="J461" s="10" t="s">
        <v>17</v>
      </c>
      <c r="K461" s="9">
        <v>2022</v>
      </c>
    </row>
    <row r="462" spans="1:11" x14ac:dyDescent="0.35">
      <c r="A462" s="14" t="s">
        <v>3</v>
      </c>
      <c r="B462" s="10" t="s">
        <v>2</v>
      </c>
      <c r="C462" s="10" t="s">
        <v>9</v>
      </c>
      <c r="D462" s="12">
        <v>2836</v>
      </c>
      <c r="E462" s="13">
        <v>350</v>
      </c>
      <c r="F462" s="12">
        <f t="shared" si="14"/>
        <v>992600</v>
      </c>
      <c r="G462" s="12">
        <v>601380</v>
      </c>
      <c r="H462" s="12">
        <f t="shared" si="15"/>
        <v>391220</v>
      </c>
      <c r="I462" s="11">
        <v>45047</v>
      </c>
      <c r="J462" s="10" t="s">
        <v>0</v>
      </c>
      <c r="K462" s="9">
        <v>2023</v>
      </c>
    </row>
    <row r="463" spans="1:11" x14ac:dyDescent="0.35">
      <c r="A463" s="14" t="s">
        <v>3</v>
      </c>
      <c r="B463" s="10" t="s">
        <v>2</v>
      </c>
      <c r="C463" s="10" t="s">
        <v>9</v>
      </c>
      <c r="D463" s="12">
        <v>4023</v>
      </c>
      <c r="E463" s="13">
        <v>125</v>
      </c>
      <c r="F463" s="12">
        <f t="shared" si="14"/>
        <v>502875</v>
      </c>
      <c r="G463" s="12">
        <v>216480</v>
      </c>
      <c r="H463" s="12">
        <f t="shared" si="15"/>
        <v>286395</v>
      </c>
      <c r="I463" s="11">
        <v>44866</v>
      </c>
      <c r="J463" s="10" t="s">
        <v>18</v>
      </c>
      <c r="K463" s="9">
        <v>2022</v>
      </c>
    </row>
    <row r="464" spans="1:11" x14ac:dyDescent="0.35">
      <c r="A464" s="14" t="s">
        <v>16</v>
      </c>
      <c r="B464" s="10" t="s">
        <v>15</v>
      </c>
      <c r="C464" s="10" t="s">
        <v>9</v>
      </c>
      <c r="D464" s="12">
        <v>3994</v>
      </c>
      <c r="E464" s="13">
        <v>15</v>
      </c>
      <c r="F464" s="12">
        <f t="shared" si="14"/>
        <v>59910</v>
      </c>
      <c r="G464" s="12">
        <v>20720</v>
      </c>
      <c r="H464" s="12">
        <f t="shared" si="15"/>
        <v>39190</v>
      </c>
      <c r="I464" s="11">
        <v>45261</v>
      </c>
      <c r="J464" s="10" t="s">
        <v>17</v>
      </c>
      <c r="K464" s="9">
        <v>2023</v>
      </c>
    </row>
    <row r="465" spans="1:11" x14ac:dyDescent="0.35">
      <c r="A465" s="14" t="s">
        <v>16</v>
      </c>
      <c r="B465" s="10" t="s">
        <v>15</v>
      </c>
      <c r="C465" s="10" t="s">
        <v>5</v>
      </c>
      <c r="D465" s="12">
        <v>2928</v>
      </c>
      <c r="E465" s="13">
        <v>20</v>
      </c>
      <c r="F465" s="12">
        <f t="shared" si="14"/>
        <v>58560</v>
      </c>
      <c r="G465" s="12">
        <v>19540</v>
      </c>
      <c r="H465" s="12">
        <f t="shared" si="15"/>
        <v>39020</v>
      </c>
      <c r="I465" s="11">
        <v>44986</v>
      </c>
      <c r="J465" s="10" t="s">
        <v>14</v>
      </c>
      <c r="K465" s="9">
        <v>2023</v>
      </c>
    </row>
    <row r="466" spans="1:11" x14ac:dyDescent="0.35">
      <c r="A466" s="14" t="s">
        <v>11</v>
      </c>
      <c r="B466" s="10" t="s">
        <v>10</v>
      </c>
      <c r="C466" s="10" t="s">
        <v>5</v>
      </c>
      <c r="D466" s="12">
        <v>2912</v>
      </c>
      <c r="E466" s="13">
        <v>300</v>
      </c>
      <c r="F466" s="12">
        <f t="shared" si="14"/>
        <v>873600</v>
      </c>
      <c r="G466" s="12">
        <v>147750</v>
      </c>
      <c r="H466" s="12">
        <f t="shared" si="15"/>
        <v>725850</v>
      </c>
      <c r="I466" s="11">
        <v>45047</v>
      </c>
      <c r="J466" s="10" t="s">
        <v>0</v>
      </c>
      <c r="K466" s="9">
        <v>2023</v>
      </c>
    </row>
    <row r="467" spans="1:11" x14ac:dyDescent="0.35">
      <c r="A467" s="14" t="s">
        <v>16</v>
      </c>
      <c r="B467" s="10" t="s">
        <v>15</v>
      </c>
      <c r="C467" s="10" t="s">
        <v>5</v>
      </c>
      <c r="D467" s="12">
        <v>3671</v>
      </c>
      <c r="E467" s="13">
        <v>15</v>
      </c>
      <c r="F467" s="12">
        <f t="shared" si="14"/>
        <v>55065</v>
      </c>
      <c r="G467" s="12">
        <v>21670</v>
      </c>
      <c r="H467" s="12">
        <f t="shared" si="15"/>
        <v>33395</v>
      </c>
      <c r="I467" s="11">
        <v>44835</v>
      </c>
      <c r="J467" s="10" t="s">
        <v>12</v>
      </c>
      <c r="K467" s="9">
        <v>2022</v>
      </c>
    </row>
    <row r="468" spans="1:11" x14ac:dyDescent="0.35">
      <c r="A468" s="14" t="s">
        <v>19</v>
      </c>
      <c r="B468" s="10" t="s">
        <v>6</v>
      </c>
      <c r="C468" s="10" t="s">
        <v>5</v>
      </c>
      <c r="D468" s="12">
        <v>2778</v>
      </c>
      <c r="E468" s="13">
        <v>20</v>
      </c>
      <c r="F468" s="12">
        <f t="shared" si="14"/>
        <v>55560</v>
      </c>
      <c r="G468" s="12">
        <v>2410</v>
      </c>
      <c r="H468" s="12">
        <f t="shared" si="15"/>
        <v>53150</v>
      </c>
      <c r="I468" s="11">
        <v>45200</v>
      </c>
      <c r="J468" s="10" t="s">
        <v>12</v>
      </c>
      <c r="K468" s="9">
        <v>2023</v>
      </c>
    </row>
    <row r="469" spans="1:11" x14ac:dyDescent="0.35">
      <c r="A469" s="14" t="s">
        <v>19</v>
      </c>
      <c r="B469" s="10" t="s">
        <v>6</v>
      </c>
      <c r="C469" s="10" t="s">
        <v>21</v>
      </c>
      <c r="D469" s="12">
        <v>405</v>
      </c>
      <c r="E469" s="13">
        <v>15</v>
      </c>
      <c r="F469" s="12">
        <f t="shared" si="14"/>
        <v>6075</v>
      </c>
      <c r="G469" s="12">
        <v>6810</v>
      </c>
      <c r="H469" s="12">
        <f t="shared" si="15"/>
        <v>-735</v>
      </c>
      <c r="I469" s="11">
        <v>44927</v>
      </c>
      <c r="J469" s="10" t="s">
        <v>25</v>
      </c>
      <c r="K469" s="9">
        <v>2023</v>
      </c>
    </row>
    <row r="470" spans="1:11" x14ac:dyDescent="0.35">
      <c r="A470" s="14" t="s">
        <v>19</v>
      </c>
      <c r="B470" s="10" t="s">
        <v>6</v>
      </c>
      <c r="C470" s="10" t="s">
        <v>21</v>
      </c>
      <c r="D470" s="12">
        <v>2013</v>
      </c>
      <c r="E470" s="13">
        <v>15</v>
      </c>
      <c r="F470" s="12">
        <f t="shared" si="14"/>
        <v>30195</v>
      </c>
      <c r="G470" s="12">
        <v>5100</v>
      </c>
      <c r="H470" s="12">
        <f t="shared" si="15"/>
        <v>25095</v>
      </c>
      <c r="I470" s="11">
        <v>45017</v>
      </c>
      <c r="J470" s="10" t="s">
        <v>4</v>
      </c>
      <c r="K470" s="9">
        <v>2023</v>
      </c>
    </row>
    <row r="471" spans="1:11" x14ac:dyDescent="0.35">
      <c r="A471" s="14" t="s">
        <v>3</v>
      </c>
      <c r="B471" s="10" t="s">
        <v>2</v>
      </c>
      <c r="C471" s="10" t="s">
        <v>21</v>
      </c>
      <c r="D471" s="12">
        <v>2634</v>
      </c>
      <c r="E471" s="13">
        <v>15</v>
      </c>
      <c r="F471" s="12">
        <f t="shared" si="14"/>
        <v>39510</v>
      </c>
      <c r="G471" s="12">
        <v>7900</v>
      </c>
      <c r="H471" s="12">
        <f t="shared" si="15"/>
        <v>31610</v>
      </c>
      <c r="I471" s="11">
        <v>45047</v>
      </c>
      <c r="J471" s="10" t="s">
        <v>0</v>
      </c>
      <c r="K471" s="9">
        <v>2023</v>
      </c>
    </row>
    <row r="472" spans="1:11" x14ac:dyDescent="0.35">
      <c r="A472" s="14" t="s">
        <v>16</v>
      </c>
      <c r="B472" s="10" t="s">
        <v>15</v>
      </c>
      <c r="C472" s="10" t="s">
        <v>21</v>
      </c>
      <c r="D472" s="12">
        <v>4166</v>
      </c>
      <c r="E472" s="13">
        <v>350</v>
      </c>
      <c r="F472" s="12">
        <f t="shared" si="14"/>
        <v>1458100</v>
      </c>
      <c r="G472" s="12">
        <v>166140</v>
      </c>
      <c r="H472" s="12">
        <f t="shared" si="15"/>
        <v>1291960</v>
      </c>
      <c r="I472" s="11">
        <v>45108</v>
      </c>
      <c r="J472" s="10" t="s">
        <v>20</v>
      </c>
      <c r="K472" s="9">
        <v>2023</v>
      </c>
    </row>
    <row r="473" spans="1:11" x14ac:dyDescent="0.35">
      <c r="A473" s="14" t="s">
        <v>3</v>
      </c>
      <c r="B473" s="10" t="s">
        <v>2</v>
      </c>
      <c r="C473" s="10" t="s">
        <v>21</v>
      </c>
      <c r="D473" s="12">
        <v>355</v>
      </c>
      <c r="E473" s="13">
        <v>125</v>
      </c>
      <c r="F473" s="12">
        <f t="shared" si="14"/>
        <v>44375</v>
      </c>
      <c r="G473" s="12">
        <v>191520</v>
      </c>
      <c r="H473" s="12">
        <f t="shared" si="15"/>
        <v>-147145</v>
      </c>
      <c r="I473" s="11">
        <v>45170</v>
      </c>
      <c r="J473" s="10" t="s">
        <v>22</v>
      </c>
      <c r="K473" s="9">
        <v>2023</v>
      </c>
    </row>
    <row r="474" spans="1:11" x14ac:dyDescent="0.35">
      <c r="A474" s="14" t="s">
        <v>3</v>
      </c>
      <c r="B474" s="10" t="s">
        <v>2</v>
      </c>
      <c r="C474" s="10" t="s">
        <v>21</v>
      </c>
      <c r="D474" s="12">
        <v>2382</v>
      </c>
      <c r="E474" s="13">
        <v>300</v>
      </c>
      <c r="F474" s="12">
        <f t="shared" si="14"/>
        <v>714600</v>
      </c>
      <c r="G474" s="12">
        <v>573500</v>
      </c>
      <c r="H474" s="12">
        <f t="shared" si="15"/>
        <v>141100</v>
      </c>
      <c r="I474" s="11">
        <v>44835</v>
      </c>
      <c r="J474" s="10" t="s">
        <v>12</v>
      </c>
      <c r="K474" s="9">
        <v>2022</v>
      </c>
    </row>
    <row r="475" spans="1:11" x14ac:dyDescent="0.35">
      <c r="A475" s="14" t="s">
        <v>19</v>
      </c>
      <c r="B475" s="10" t="s">
        <v>6</v>
      </c>
      <c r="C475" s="10" t="s">
        <v>21</v>
      </c>
      <c r="D475" s="12">
        <v>4170</v>
      </c>
      <c r="E475" s="13">
        <v>20</v>
      </c>
      <c r="F475" s="12">
        <f t="shared" si="14"/>
        <v>83400</v>
      </c>
      <c r="G475" s="12">
        <v>2410</v>
      </c>
      <c r="H475" s="12">
        <f t="shared" si="15"/>
        <v>80990</v>
      </c>
      <c r="I475" s="11">
        <v>45200</v>
      </c>
      <c r="J475" s="10" t="s">
        <v>12</v>
      </c>
      <c r="K475" s="9">
        <v>2023</v>
      </c>
    </row>
    <row r="476" spans="1:11" x14ac:dyDescent="0.35">
      <c r="A476" s="14" t="s">
        <v>19</v>
      </c>
      <c r="B476" s="10" t="s">
        <v>6</v>
      </c>
      <c r="C476" s="10" t="s">
        <v>21</v>
      </c>
      <c r="D476" s="12">
        <v>892</v>
      </c>
      <c r="E476" s="13">
        <v>7</v>
      </c>
      <c r="F476" s="12">
        <f t="shared" si="14"/>
        <v>6244</v>
      </c>
      <c r="G476" s="12">
        <v>13325</v>
      </c>
      <c r="H476" s="12">
        <f t="shared" si="15"/>
        <v>-7081</v>
      </c>
      <c r="I476" s="11">
        <v>45231</v>
      </c>
      <c r="J476" s="10" t="s">
        <v>18</v>
      </c>
      <c r="K476" s="9">
        <v>2023</v>
      </c>
    </row>
    <row r="477" spans="1:11" x14ac:dyDescent="0.35">
      <c r="A477" s="14" t="s">
        <v>7</v>
      </c>
      <c r="B477" s="10" t="s">
        <v>6</v>
      </c>
      <c r="C477" s="10" t="s">
        <v>21</v>
      </c>
      <c r="D477" s="12">
        <v>2200</v>
      </c>
      <c r="E477" s="13">
        <v>125</v>
      </c>
      <c r="F477" s="12">
        <f t="shared" si="14"/>
        <v>275000</v>
      </c>
      <c r="G477" s="12">
        <v>229920</v>
      </c>
      <c r="H477" s="12">
        <f t="shared" si="15"/>
        <v>45080</v>
      </c>
      <c r="I477" s="11">
        <v>44896</v>
      </c>
      <c r="J477" s="10" t="s">
        <v>17</v>
      </c>
      <c r="K477" s="9">
        <v>2022</v>
      </c>
    </row>
    <row r="478" spans="1:11" x14ac:dyDescent="0.35">
      <c r="A478" s="14" t="s">
        <v>16</v>
      </c>
      <c r="B478" s="10" t="s">
        <v>15</v>
      </c>
      <c r="C478" s="10" t="s">
        <v>21</v>
      </c>
      <c r="D478" s="12">
        <v>3389</v>
      </c>
      <c r="E478" s="13">
        <v>300</v>
      </c>
      <c r="F478" s="12">
        <f t="shared" si="14"/>
        <v>1016700</v>
      </c>
      <c r="G478" s="12">
        <v>213250</v>
      </c>
      <c r="H478" s="12">
        <f t="shared" si="15"/>
        <v>803450</v>
      </c>
      <c r="I478" s="11">
        <v>45261</v>
      </c>
      <c r="J478" s="10" t="s">
        <v>17</v>
      </c>
      <c r="K478" s="9">
        <v>2023</v>
      </c>
    </row>
    <row r="479" spans="1:11" x14ac:dyDescent="0.35">
      <c r="A479" s="14" t="s">
        <v>11</v>
      </c>
      <c r="B479" s="10" t="s">
        <v>10</v>
      </c>
      <c r="C479" s="10" t="s">
        <v>1</v>
      </c>
      <c r="D479" s="12">
        <v>2990</v>
      </c>
      <c r="E479" s="13">
        <v>125</v>
      </c>
      <c r="F479" s="12">
        <f t="shared" si="14"/>
        <v>373750</v>
      </c>
      <c r="G479" s="12">
        <v>40920</v>
      </c>
      <c r="H479" s="12">
        <f t="shared" si="15"/>
        <v>332830</v>
      </c>
      <c r="I479" s="11">
        <v>45047</v>
      </c>
      <c r="J479" s="10" t="s">
        <v>0</v>
      </c>
      <c r="K479" s="9">
        <v>2023</v>
      </c>
    </row>
    <row r="480" spans="1:11" x14ac:dyDescent="0.35">
      <c r="A480" s="14" t="s">
        <v>11</v>
      </c>
      <c r="B480" s="10" t="s">
        <v>10</v>
      </c>
      <c r="C480" s="10" t="s">
        <v>1</v>
      </c>
      <c r="D480" s="12">
        <v>4013</v>
      </c>
      <c r="E480" s="13">
        <v>15</v>
      </c>
      <c r="F480" s="12">
        <f t="shared" si="14"/>
        <v>60195</v>
      </c>
      <c r="G480" s="12">
        <v>6410</v>
      </c>
      <c r="H480" s="12">
        <f t="shared" si="15"/>
        <v>53785</v>
      </c>
      <c r="I480" s="11">
        <v>45108</v>
      </c>
      <c r="J480" s="10" t="s">
        <v>20</v>
      </c>
      <c r="K480" s="9">
        <v>2023</v>
      </c>
    </row>
    <row r="481" spans="1:11" x14ac:dyDescent="0.35">
      <c r="A481" s="14" t="s">
        <v>3</v>
      </c>
      <c r="B481" s="10" t="s">
        <v>2</v>
      </c>
      <c r="C481" s="10" t="s">
        <v>1</v>
      </c>
      <c r="D481" s="12">
        <v>739</v>
      </c>
      <c r="E481" s="13">
        <v>350</v>
      </c>
      <c r="F481" s="12">
        <f t="shared" si="14"/>
        <v>258650</v>
      </c>
      <c r="G481" s="12">
        <v>729820</v>
      </c>
      <c r="H481" s="12">
        <f t="shared" si="15"/>
        <v>-471170</v>
      </c>
      <c r="I481" s="11">
        <v>45139</v>
      </c>
      <c r="J481" s="10" t="s">
        <v>23</v>
      </c>
      <c r="K481" s="9">
        <v>2023</v>
      </c>
    </row>
    <row r="482" spans="1:11" x14ac:dyDescent="0.35">
      <c r="A482" s="14" t="s">
        <v>11</v>
      </c>
      <c r="B482" s="10" t="s">
        <v>10</v>
      </c>
      <c r="C482" s="10" t="s">
        <v>1</v>
      </c>
      <c r="D482" s="12">
        <v>1989</v>
      </c>
      <c r="E482" s="13">
        <v>300</v>
      </c>
      <c r="F482" s="12">
        <f t="shared" si="14"/>
        <v>596700</v>
      </c>
      <c r="G482" s="12">
        <v>108000</v>
      </c>
      <c r="H482" s="12">
        <f t="shared" si="15"/>
        <v>488700</v>
      </c>
      <c r="I482" s="11">
        <v>45170</v>
      </c>
      <c r="J482" s="10" t="s">
        <v>22</v>
      </c>
      <c r="K482" s="9">
        <v>2023</v>
      </c>
    </row>
    <row r="483" spans="1:11" x14ac:dyDescent="0.35">
      <c r="A483" s="14" t="s">
        <v>3</v>
      </c>
      <c r="B483" s="10" t="s">
        <v>2</v>
      </c>
      <c r="C483" s="10" t="s">
        <v>1</v>
      </c>
      <c r="D483" s="12">
        <v>2991</v>
      </c>
      <c r="E483" s="13">
        <v>300</v>
      </c>
      <c r="F483" s="12">
        <f t="shared" si="14"/>
        <v>897300</v>
      </c>
      <c r="G483" s="12">
        <v>573500</v>
      </c>
      <c r="H483" s="12">
        <f t="shared" si="15"/>
        <v>323800</v>
      </c>
      <c r="I483" s="11">
        <v>44835</v>
      </c>
      <c r="J483" s="10" t="s">
        <v>12</v>
      </c>
      <c r="K483" s="9">
        <v>2022</v>
      </c>
    </row>
    <row r="484" spans="1:11" x14ac:dyDescent="0.35">
      <c r="A484" s="14" t="s">
        <v>16</v>
      </c>
      <c r="B484" s="10" t="s">
        <v>15</v>
      </c>
      <c r="C484" s="10" t="s">
        <v>1</v>
      </c>
      <c r="D484" s="12">
        <v>4237</v>
      </c>
      <c r="E484" s="13">
        <v>15</v>
      </c>
      <c r="F484" s="12">
        <f t="shared" si="14"/>
        <v>63555</v>
      </c>
      <c r="G484" s="12">
        <v>21670</v>
      </c>
      <c r="H484" s="12">
        <f t="shared" si="15"/>
        <v>41885</v>
      </c>
      <c r="I484" s="11">
        <v>44835</v>
      </c>
      <c r="J484" s="10" t="s">
        <v>12</v>
      </c>
      <c r="K484" s="9">
        <v>2022</v>
      </c>
    </row>
    <row r="485" spans="1:11" x14ac:dyDescent="0.35">
      <c r="A485" s="14" t="s">
        <v>7</v>
      </c>
      <c r="B485" s="10" t="s">
        <v>6</v>
      </c>
      <c r="C485" s="10" t="s">
        <v>1</v>
      </c>
      <c r="D485" s="12">
        <v>1442</v>
      </c>
      <c r="E485" s="13">
        <v>125</v>
      </c>
      <c r="F485" s="12">
        <f t="shared" si="14"/>
        <v>180250</v>
      </c>
      <c r="G485" s="12">
        <v>303480</v>
      </c>
      <c r="H485" s="12">
        <f t="shared" si="15"/>
        <v>-123230</v>
      </c>
      <c r="I485" s="11">
        <v>45231</v>
      </c>
      <c r="J485" s="10" t="s">
        <v>18</v>
      </c>
      <c r="K485" s="9">
        <v>2023</v>
      </c>
    </row>
    <row r="486" spans="1:11" x14ac:dyDescent="0.35">
      <c r="A486" s="14" t="s">
        <v>19</v>
      </c>
      <c r="B486" s="10" t="s">
        <v>6</v>
      </c>
      <c r="C486" s="10" t="s">
        <v>1</v>
      </c>
      <c r="D486" s="12">
        <v>2712</v>
      </c>
      <c r="E486" s="13">
        <v>350</v>
      </c>
      <c r="F486" s="12">
        <f t="shared" si="14"/>
        <v>949200</v>
      </c>
      <c r="G486" s="12">
        <v>486200</v>
      </c>
      <c r="H486" s="12">
        <f t="shared" si="15"/>
        <v>463000</v>
      </c>
      <c r="I486" s="11">
        <v>44896</v>
      </c>
      <c r="J486" s="10" t="s">
        <v>17</v>
      </c>
      <c r="K486" s="9">
        <v>2022</v>
      </c>
    </row>
    <row r="487" spans="1:11" x14ac:dyDescent="0.35">
      <c r="A487" s="14" t="s">
        <v>3</v>
      </c>
      <c r="B487" s="10" t="s">
        <v>2</v>
      </c>
      <c r="C487" s="10" t="s">
        <v>13</v>
      </c>
      <c r="D487" s="12">
        <v>1508</v>
      </c>
      <c r="E487" s="13">
        <v>125</v>
      </c>
      <c r="F487" s="12">
        <f t="shared" si="14"/>
        <v>188500</v>
      </c>
      <c r="G487" s="12">
        <v>69480</v>
      </c>
      <c r="H487" s="12">
        <f t="shared" si="15"/>
        <v>119020</v>
      </c>
      <c r="I487" s="11">
        <v>44927</v>
      </c>
      <c r="J487" s="10" t="s">
        <v>25</v>
      </c>
      <c r="K487" s="9">
        <v>2023</v>
      </c>
    </row>
    <row r="488" spans="1:11" x14ac:dyDescent="0.35">
      <c r="A488" s="14" t="s">
        <v>7</v>
      </c>
      <c r="B488" s="10" t="s">
        <v>6</v>
      </c>
      <c r="C488" s="10" t="s">
        <v>13</v>
      </c>
      <c r="D488" s="12">
        <v>4245</v>
      </c>
      <c r="E488" s="13">
        <v>350</v>
      </c>
      <c r="F488" s="12">
        <f t="shared" si="14"/>
        <v>1485750</v>
      </c>
      <c r="G488" s="12">
        <v>582400</v>
      </c>
      <c r="H488" s="12">
        <f t="shared" si="15"/>
        <v>903350</v>
      </c>
      <c r="I488" s="11">
        <v>44958</v>
      </c>
      <c r="J488" s="10" t="s">
        <v>8</v>
      </c>
      <c r="K488" s="9">
        <v>2023</v>
      </c>
    </row>
    <row r="489" spans="1:11" x14ac:dyDescent="0.35">
      <c r="A489" s="14" t="s">
        <v>3</v>
      </c>
      <c r="B489" s="10" t="s">
        <v>2</v>
      </c>
      <c r="C489" s="10" t="s">
        <v>13</v>
      </c>
      <c r="D489" s="12">
        <v>2630</v>
      </c>
      <c r="E489" s="13">
        <v>300</v>
      </c>
      <c r="F489" s="12">
        <f t="shared" si="14"/>
        <v>789000</v>
      </c>
      <c r="G489" s="12">
        <v>748250</v>
      </c>
      <c r="H489" s="12">
        <f t="shared" si="15"/>
        <v>40750</v>
      </c>
      <c r="I489" s="11">
        <v>44986</v>
      </c>
      <c r="J489" s="10" t="s">
        <v>14</v>
      </c>
      <c r="K489" s="9">
        <v>2023</v>
      </c>
    </row>
    <row r="490" spans="1:11" x14ac:dyDescent="0.35">
      <c r="A490" s="14" t="s">
        <v>7</v>
      </c>
      <c r="B490" s="10" t="s">
        <v>6</v>
      </c>
      <c r="C490" s="10" t="s">
        <v>13</v>
      </c>
      <c r="D490" s="12">
        <v>1182</v>
      </c>
      <c r="E490" s="13">
        <v>12</v>
      </c>
      <c r="F490" s="12">
        <f t="shared" si="14"/>
        <v>14184</v>
      </c>
      <c r="G490" s="12">
        <v>10561.5</v>
      </c>
      <c r="H490" s="12">
        <f t="shared" si="15"/>
        <v>3622.5</v>
      </c>
      <c r="I490" s="11">
        <v>45017</v>
      </c>
      <c r="J490" s="10" t="s">
        <v>4</v>
      </c>
      <c r="K490" s="9">
        <v>2023</v>
      </c>
    </row>
    <row r="491" spans="1:11" x14ac:dyDescent="0.35">
      <c r="A491" s="14" t="s">
        <v>11</v>
      </c>
      <c r="B491" s="10" t="s">
        <v>10</v>
      </c>
      <c r="C491" s="10" t="s">
        <v>13</v>
      </c>
      <c r="D491" s="12">
        <v>1221</v>
      </c>
      <c r="E491" s="13">
        <v>20</v>
      </c>
      <c r="F491" s="12">
        <f t="shared" si="14"/>
        <v>24420</v>
      </c>
      <c r="G491" s="12">
        <v>20390</v>
      </c>
      <c r="H491" s="12">
        <f t="shared" si="15"/>
        <v>4030</v>
      </c>
      <c r="I491" s="11">
        <v>45047</v>
      </c>
      <c r="J491" s="10" t="s">
        <v>0</v>
      </c>
      <c r="K491" s="9">
        <v>2023</v>
      </c>
    </row>
    <row r="492" spans="1:11" x14ac:dyDescent="0.35">
      <c r="A492" s="14" t="s">
        <v>19</v>
      </c>
      <c r="B492" s="10" t="s">
        <v>6</v>
      </c>
      <c r="C492" s="10" t="s">
        <v>13</v>
      </c>
      <c r="D492" s="12">
        <v>963</v>
      </c>
      <c r="E492" s="13">
        <v>12</v>
      </c>
      <c r="F492" s="12">
        <f t="shared" si="14"/>
        <v>11556</v>
      </c>
      <c r="G492" s="12">
        <v>7722</v>
      </c>
      <c r="H492" s="12">
        <f t="shared" si="15"/>
        <v>3834</v>
      </c>
      <c r="I492" s="11">
        <v>45139</v>
      </c>
      <c r="J492" s="10" t="s">
        <v>23</v>
      </c>
      <c r="K492" s="9">
        <v>2023</v>
      </c>
    </row>
    <row r="493" spans="1:11" x14ac:dyDescent="0.35">
      <c r="A493" s="14" t="s">
        <v>7</v>
      </c>
      <c r="B493" s="10" t="s">
        <v>6</v>
      </c>
      <c r="C493" s="10" t="s">
        <v>13</v>
      </c>
      <c r="D493" s="12">
        <v>3243</v>
      </c>
      <c r="E493" s="13">
        <v>350</v>
      </c>
      <c r="F493" s="12">
        <f t="shared" si="14"/>
        <v>1135050</v>
      </c>
      <c r="G493" s="12">
        <v>183820</v>
      </c>
      <c r="H493" s="12">
        <f t="shared" si="15"/>
        <v>951230</v>
      </c>
      <c r="I493" s="11">
        <v>45170</v>
      </c>
      <c r="J493" s="10" t="s">
        <v>22</v>
      </c>
      <c r="K493" s="9">
        <v>2023</v>
      </c>
    </row>
    <row r="494" spans="1:11" x14ac:dyDescent="0.35">
      <c r="A494" s="14" t="s">
        <v>16</v>
      </c>
      <c r="B494" s="10" t="s">
        <v>15</v>
      </c>
      <c r="C494" s="10" t="s">
        <v>13</v>
      </c>
      <c r="D494" s="12">
        <v>1120</v>
      </c>
      <c r="E494" s="13">
        <v>15</v>
      </c>
      <c r="F494" s="12">
        <f t="shared" si="14"/>
        <v>16800</v>
      </c>
      <c r="G494" s="12">
        <v>20720</v>
      </c>
      <c r="H494" s="12">
        <f t="shared" si="15"/>
        <v>-3920</v>
      </c>
      <c r="I494" s="11">
        <v>45261</v>
      </c>
      <c r="J494" s="10" t="s">
        <v>17</v>
      </c>
      <c r="K494" s="9">
        <v>2023</v>
      </c>
    </row>
    <row r="495" spans="1:11" x14ac:dyDescent="0.35">
      <c r="A495" s="14" t="s">
        <v>16</v>
      </c>
      <c r="B495" s="10" t="s">
        <v>15</v>
      </c>
      <c r="C495" s="10" t="s">
        <v>13</v>
      </c>
      <c r="D495" s="12">
        <v>1174</v>
      </c>
      <c r="E495" s="13">
        <v>300</v>
      </c>
      <c r="F495" s="12">
        <f t="shared" si="14"/>
        <v>352200</v>
      </c>
      <c r="G495" s="12">
        <v>213250</v>
      </c>
      <c r="H495" s="12">
        <f t="shared" si="15"/>
        <v>138950</v>
      </c>
      <c r="I495" s="11">
        <v>45261</v>
      </c>
      <c r="J495" s="10" t="s">
        <v>17</v>
      </c>
      <c r="K495" s="9">
        <v>2023</v>
      </c>
    </row>
    <row r="496" spans="1:11" x14ac:dyDescent="0.35">
      <c r="A496" s="14" t="s">
        <v>16</v>
      </c>
      <c r="B496" s="10" t="s">
        <v>15</v>
      </c>
      <c r="C496" s="10" t="s">
        <v>24</v>
      </c>
      <c r="D496" s="12">
        <v>2541</v>
      </c>
      <c r="E496" s="13">
        <v>12</v>
      </c>
      <c r="F496" s="12">
        <f t="shared" si="14"/>
        <v>30492</v>
      </c>
      <c r="G496" s="12">
        <v>3594</v>
      </c>
      <c r="H496" s="12">
        <f t="shared" si="15"/>
        <v>26898</v>
      </c>
      <c r="I496" s="11">
        <v>44835</v>
      </c>
      <c r="J496" s="10" t="s">
        <v>12</v>
      </c>
      <c r="K496" s="9">
        <v>2022</v>
      </c>
    </row>
    <row r="497" spans="1:11" x14ac:dyDescent="0.35">
      <c r="A497" s="14" t="s">
        <v>16</v>
      </c>
      <c r="B497" s="10" t="s">
        <v>15</v>
      </c>
      <c r="C497" s="10" t="s">
        <v>5</v>
      </c>
      <c r="D497" s="12">
        <v>3246</v>
      </c>
      <c r="E497" s="13">
        <v>7</v>
      </c>
      <c r="F497" s="12">
        <f t="shared" si="14"/>
        <v>22722</v>
      </c>
      <c r="G497" s="12">
        <v>12660</v>
      </c>
      <c r="H497" s="12">
        <f t="shared" si="15"/>
        <v>10062</v>
      </c>
      <c r="I497" s="11">
        <v>45017</v>
      </c>
      <c r="J497" s="10" t="s">
        <v>4</v>
      </c>
      <c r="K497" s="9">
        <v>2023</v>
      </c>
    </row>
    <row r="498" spans="1:11" x14ac:dyDescent="0.35">
      <c r="A498" s="14" t="s">
        <v>16</v>
      </c>
      <c r="B498" s="10" t="s">
        <v>15</v>
      </c>
      <c r="C498" s="10" t="s">
        <v>5</v>
      </c>
      <c r="D498" s="12">
        <v>1531</v>
      </c>
      <c r="E498" s="13">
        <v>12</v>
      </c>
      <c r="F498" s="12">
        <f t="shared" si="14"/>
        <v>18372</v>
      </c>
      <c r="G498" s="12">
        <v>3594</v>
      </c>
      <c r="H498" s="12">
        <f t="shared" si="15"/>
        <v>14778</v>
      </c>
      <c r="I498" s="11">
        <v>44835</v>
      </c>
      <c r="J498" s="10" t="s">
        <v>12</v>
      </c>
      <c r="K498" s="9">
        <v>2022</v>
      </c>
    </row>
    <row r="499" spans="1:11" x14ac:dyDescent="0.35">
      <c r="A499" s="14" t="s">
        <v>7</v>
      </c>
      <c r="B499" s="10" t="s">
        <v>6</v>
      </c>
      <c r="C499" s="10" t="s">
        <v>21</v>
      </c>
      <c r="D499" s="12">
        <v>2526</v>
      </c>
      <c r="E499" s="13">
        <v>15</v>
      </c>
      <c r="F499" s="12">
        <f t="shared" si="14"/>
        <v>37890</v>
      </c>
      <c r="G499" s="12">
        <v>3840</v>
      </c>
      <c r="H499" s="12">
        <f t="shared" si="15"/>
        <v>34050</v>
      </c>
      <c r="I499" s="11">
        <v>44927</v>
      </c>
      <c r="J499" s="10" t="s">
        <v>25</v>
      </c>
      <c r="K499" s="9">
        <v>2023</v>
      </c>
    </row>
    <row r="500" spans="1:11" x14ac:dyDescent="0.35">
      <c r="A500" s="14" t="s">
        <v>19</v>
      </c>
      <c r="B500" s="10" t="s">
        <v>6</v>
      </c>
      <c r="C500" s="10" t="s">
        <v>21</v>
      </c>
      <c r="D500" s="12">
        <v>1136</v>
      </c>
      <c r="E500" s="13">
        <v>12</v>
      </c>
      <c r="F500" s="12">
        <f t="shared" si="14"/>
        <v>13632</v>
      </c>
      <c r="G500" s="12">
        <v>1416</v>
      </c>
      <c r="H500" s="12">
        <f t="shared" si="15"/>
        <v>12216</v>
      </c>
      <c r="I500" s="11">
        <v>45200</v>
      </c>
      <c r="J500" s="10" t="s">
        <v>12</v>
      </c>
      <c r="K500" s="9">
        <v>2023</v>
      </c>
    </row>
    <row r="501" spans="1:11" x14ac:dyDescent="0.35">
      <c r="A501" s="14" t="s">
        <v>3</v>
      </c>
      <c r="B501" s="10" t="s">
        <v>2</v>
      </c>
      <c r="C501" s="10" t="s">
        <v>1</v>
      </c>
      <c r="D501" s="12">
        <v>1983</v>
      </c>
      <c r="E501" s="13">
        <v>7</v>
      </c>
      <c r="F501" s="12">
        <f t="shared" si="14"/>
        <v>13881</v>
      </c>
      <c r="G501" s="12">
        <v>7895</v>
      </c>
      <c r="H501" s="12">
        <f t="shared" si="15"/>
        <v>5986</v>
      </c>
      <c r="I501" s="11">
        <v>44986</v>
      </c>
      <c r="J501" s="10" t="s">
        <v>14</v>
      </c>
      <c r="K501" s="9">
        <v>2023</v>
      </c>
    </row>
    <row r="502" spans="1:11" x14ac:dyDescent="0.35">
      <c r="A502" s="14" t="s">
        <v>11</v>
      </c>
      <c r="B502" s="10" t="s">
        <v>10</v>
      </c>
      <c r="C502" s="10" t="s">
        <v>1</v>
      </c>
      <c r="D502" s="12">
        <v>3259</v>
      </c>
      <c r="E502" s="13">
        <v>12</v>
      </c>
      <c r="F502" s="12">
        <f t="shared" si="14"/>
        <v>39108</v>
      </c>
      <c r="G502" s="12">
        <v>3015</v>
      </c>
      <c r="H502" s="12">
        <f t="shared" si="15"/>
        <v>36093</v>
      </c>
      <c r="I502" s="11">
        <v>44805</v>
      </c>
      <c r="J502" s="10" t="s">
        <v>22</v>
      </c>
      <c r="K502" s="9">
        <v>2022</v>
      </c>
    </row>
    <row r="503" spans="1:11" x14ac:dyDescent="0.35">
      <c r="A503" s="14" t="s">
        <v>3</v>
      </c>
      <c r="B503" s="10" t="s">
        <v>2</v>
      </c>
      <c r="C503" s="10" t="s">
        <v>13</v>
      </c>
      <c r="D503" s="12">
        <v>3267</v>
      </c>
      <c r="E503" s="13">
        <v>15</v>
      </c>
      <c r="F503" s="12">
        <f t="shared" si="14"/>
        <v>49005</v>
      </c>
      <c r="G503" s="12">
        <v>31995</v>
      </c>
      <c r="H503" s="12">
        <f t="shared" si="15"/>
        <v>17010</v>
      </c>
      <c r="I503" s="11">
        <v>45108</v>
      </c>
      <c r="J503" s="10" t="s">
        <v>20</v>
      </c>
      <c r="K503" s="9">
        <v>2023</v>
      </c>
    </row>
    <row r="504" spans="1:11" x14ac:dyDescent="0.35">
      <c r="A504" s="14" t="s">
        <v>19</v>
      </c>
      <c r="B504" s="10" t="s">
        <v>6</v>
      </c>
      <c r="C504" s="10" t="s">
        <v>13</v>
      </c>
      <c r="D504" s="12">
        <v>2454</v>
      </c>
      <c r="E504" s="13">
        <v>12</v>
      </c>
      <c r="F504" s="12">
        <f t="shared" si="14"/>
        <v>29448</v>
      </c>
      <c r="G504" s="12">
        <v>1416</v>
      </c>
      <c r="H504" s="12">
        <f t="shared" si="15"/>
        <v>28032</v>
      </c>
      <c r="I504" s="11">
        <v>45200</v>
      </c>
      <c r="J504" s="10" t="s">
        <v>12</v>
      </c>
      <c r="K504" s="9">
        <v>2023</v>
      </c>
    </row>
    <row r="505" spans="1:11" x14ac:dyDescent="0.35">
      <c r="A505" s="14" t="s">
        <v>7</v>
      </c>
      <c r="B505" s="10" t="s">
        <v>6</v>
      </c>
      <c r="C505" s="10" t="s">
        <v>24</v>
      </c>
      <c r="D505" s="12">
        <v>2643</v>
      </c>
      <c r="E505" s="13">
        <v>12</v>
      </c>
      <c r="F505" s="12">
        <f t="shared" si="14"/>
        <v>31716</v>
      </c>
      <c r="G505" s="12">
        <v>5811</v>
      </c>
      <c r="H505" s="12">
        <f t="shared" si="15"/>
        <v>25905</v>
      </c>
      <c r="I505" s="11">
        <v>44958</v>
      </c>
      <c r="J505" s="10" t="s">
        <v>8</v>
      </c>
      <c r="K505" s="9">
        <v>2023</v>
      </c>
    </row>
    <row r="506" spans="1:11" x14ac:dyDescent="0.35">
      <c r="A506" s="14" t="s">
        <v>19</v>
      </c>
      <c r="B506" s="10" t="s">
        <v>6</v>
      </c>
      <c r="C506" s="10" t="s">
        <v>24</v>
      </c>
      <c r="D506" s="12">
        <v>383</v>
      </c>
      <c r="E506" s="13">
        <v>350</v>
      </c>
      <c r="F506" s="12">
        <f t="shared" si="14"/>
        <v>134050</v>
      </c>
      <c r="G506" s="12">
        <v>205920</v>
      </c>
      <c r="H506" s="12">
        <f t="shared" si="15"/>
        <v>-71870</v>
      </c>
      <c r="I506" s="11">
        <v>44986</v>
      </c>
      <c r="J506" s="10" t="s">
        <v>14</v>
      </c>
      <c r="K506" s="9">
        <v>2023</v>
      </c>
    </row>
    <row r="507" spans="1:11" x14ac:dyDescent="0.35">
      <c r="A507" s="14" t="s">
        <v>19</v>
      </c>
      <c r="B507" s="10" t="s">
        <v>6</v>
      </c>
      <c r="C507" s="10" t="s">
        <v>24</v>
      </c>
      <c r="D507" s="12">
        <v>2801</v>
      </c>
      <c r="E507" s="13">
        <v>300</v>
      </c>
      <c r="F507" s="12">
        <f t="shared" si="14"/>
        <v>840300</v>
      </c>
      <c r="G507" s="12">
        <v>702750</v>
      </c>
      <c r="H507" s="12">
        <f t="shared" si="15"/>
        <v>137550</v>
      </c>
      <c r="I507" s="11">
        <v>45108</v>
      </c>
      <c r="J507" s="10" t="s">
        <v>20</v>
      </c>
      <c r="K507" s="9">
        <v>2023</v>
      </c>
    </row>
    <row r="508" spans="1:11" x14ac:dyDescent="0.35">
      <c r="A508" s="14" t="s">
        <v>16</v>
      </c>
      <c r="B508" s="10" t="s">
        <v>15</v>
      </c>
      <c r="C508" s="10" t="s">
        <v>24</v>
      </c>
      <c r="D508" s="12">
        <v>1667</v>
      </c>
      <c r="E508" s="13">
        <v>125</v>
      </c>
      <c r="F508" s="12">
        <f t="shared" si="14"/>
        <v>208375</v>
      </c>
      <c r="G508" s="12">
        <v>292920</v>
      </c>
      <c r="H508" s="12">
        <f t="shared" si="15"/>
        <v>-84545</v>
      </c>
      <c r="I508" s="11">
        <v>45200</v>
      </c>
      <c r="J508" s="10" t="s">
        <v>12</v>
      </c>
      <c r="K508" s="9">
        <v>2023</v>
      </c>
    </row>
    <row r="509" spans="1:11" x14ac:dyDescent="0.35">
      <c r="A509" s="14" t="s">
        <v>7</v>
      </c>
      <c r="B509" s="10" t="s">
        <v>6</v>
      </c>
      <c r="C509" s="10" t="s">
        <v>24</v>
      </c>
      <c r="D509" s="12">
        <v>3539</v>
      </c>
      <c r="E509" s="13">
        <v>15</v>
      </c>
      <c r="F509" s="12">
        <f t="shared" si="14"/>
        <v>53085</v>
      </c>
      <c r="G509" s="12">
        <v>15600</v>
      </c>
      <c r="H509" s="12">
        <f t="shared" si="15"/>
        <v>37485</v>
      </c>
      <c r="I509" s="11">
        <v>44866</v>
      </c>
      <c r="J509" s="10" t="s">
        <v>18</v>
      </c>
      <c r="K509" s="9">
        <v>2022</v>
      </c>
    </row>
    <row r="510" spans="1:11" x14ac:dyDescent="0.35">
      <c r="A510" s="14" t="s">
        <v>11</v>
      </c>
      <c r="B510" s="10" t="s">
        <v>10</v>
      </c>
      <c r="C510" s="10" t="s">
        <v>24</v>
      </c>
      <c r="D510" s="12">
        <v>4226</v>
      </c>
      <c r="E510" s="13">
        <v>7</v>
      </c>
      <c r="F510" s="12">
        <f t="shared" si="14"/>
        <v>29582</v>
      </c>
      <c r="G510" s="12">
        <v>13530</v>
      </c>
      <c r="H510" s="12">
        <f t="shared" si="15"/>
        <v>16052</v>
      </c>
      <c r="I510" s="11">
        <v>44866</v>
      </c>
      <c r="J510" s="10" t="s">
        <v>18</v>
      </c>
      <c r="K510" s="9">
        <v>2022</v>
      </c>
    </row>
    <row r="511" spans="1:11" x14ac:dyDescent="0.35">
      <c r="A511" s="14" t="s">
        <v>19</v>
      </c>
      <c r="B511" s="10" t="s">
        <v>6</v>
      </c>
      <c r="C511" s="10" t="s">
        <v>9</v>
      </c>
      <c r="D511" s="12">
        <v>2220</v>
      </c>
      <c r="E511" s="13">
        <v>350</v>
      </c>
      <c r="F511" s="12">
        <f t="shared" si="14"/>
        <v>777000</v>
      </c>
      <c r="G511" s="12">
        <v>199160</v>
      </c>
      <c r="H511" s="12">
        <f t="shared" si="15"/>
        <v>577840</v>
      </c>
      <c r="I511" s="11">
        <v>44927</v>
      </c>
      <c r="J511" s="10" t="s">
        <v>25</v>
      </c>
      <c r="K511" s="9">
        <v>2023</v>
      </c>
    </row>
    <row r="512" spans="1:11" x14ac:dyDescent="0.35">
      <c r="A512" s="14" t="s">
        <v>19</v>
      </c>
      <c r="B512" s="10" t="s">
        <v>6</v>
      </c>
      <c r="C512" s="10" t="s">
        <v>9</v>
      </c>
      <c r="D512" s="12">
        <v>776</v>
      </c>
      <c r="E512" s="13">
        <v>20</v>
      </c>
      <c r="F512" s="12">
        <f t="shared" si="14"/>
        <v>15520</v>
      </c>
      <c r="G512" s="12">
        <v>29920</v>
      </c>
      <c r="H512" s="12">
        <f t="shared" si="15"/>
        <v>-14400</v>
      </c>
      <c r="I512" s="11">
        <v>44835</v>
      </c>
      <c r="J512" s="10" t="s">
        <v>12</v>
      </c>
      <c r="K512" s="9">
        <v>2022</v>
      </c>
    </row>
    <row r="513" spans="1:11" x14ac:dyDescent="0.35">
      <c r="A513" s="14" t="s">
        <v>11</v>
      </c>
      <c r="B513" s="10" t="s">
        <v>10</v>
      </c>
      <c r="C513" s="10" t="s">
        <v>9</v>
      </c>
      <c r="D513" s="12">
        <v>553</v>
      </c>
      <c r="E513" s="13">
        <v>15</v>
      </c>
      <c r="F513" s="12">
        <f t="shared" si="14"/>
        <v>8295</v>
      </c>
      <c r="G513" s="12">
        <v>21570</v>
      </c>
      <c r="H513" s="12">
        <f t="shared" si="15"/>
        <v>-13275</v>
      </c>
      <c r="I513" s="11">
        <v>45261</v>
      </c>
      <c r="J513" s="10" t="s">
        <v>17</v>
      </c>
      <c r="K513" s="9">
        <v>2023</v>
      </c>
    </row>
    <row r="514" spans="1:11" x14ac:dyDescent="0.35">
      <c r="A514" s="14" t="s">
        <v>7</v>
      </c>
      <c r="B514" s="10" t="s">
        <v>6</v>
      </c>
      <c r="C514" s="10" t="s">
        <v>5</v>
      </c>
      <c r="D514" s="12">
        <v>2107</v>
      </c>
      <c r="E514" s="13">
        <v>300</v>
      </c>
      <c r="F514" s="12">
        <f t="shared" ref="F514:F577" si="16">SUM(D514*E514)</f>
        <v>632100</v>
      </c>
      <c r="G514" s="12">
        <v>218250</v>
      </c>
      <c r="H514" s="12">
        <f t="shared" ref="H514:H577" si="17">F514-G514</f>
        <v>413850</v>
      </c>
      <c r="I514" s="11">
        <v>44927</v>
      </c>
      <c r="J514" s="10" t="s">
        <v>25</v>
      </c>
      <c r="K514" s="9">
        <v>2023</v>
      </c>
    </row>
    <row r="515" spans="1:11" x14ac:dyDescent="0.35">
      <c r="A515" s="14" t="s">
        <v>11</v>
      </c>
      <c r="B515" s="10" t="s">
        <v>10</v>
      </c>
      <c r="C515" s="10" t="s">
        <v>5</v>
      </c>
      <c r="D515" s="12">
        <v>2468</v>
      </c>
      <c r="E515" s="13">
        <v>20</v>
      </c>
      <c r="F515" s="12">
        <f t="shared" si="16"/>
        <v>49360</v>
      </c>
      <c r="G515" s="12">
        <v>11220</v>
      </c>
      <c r="H515" s="12">
        <f t="shared" si="17"/>
        <v>38140</v>
      </c>
      <c r="I515" s="11">
        <v>44986</v>
      </c>
      <c r="J515" s="10" t="s">
        <v>14</v>
      </c>
      <c r="K515" s="9">
        <v>2023</v>
      </c>
    </row>
    <row r="516" spans="1:11" x14ac:dyDescent="0.35">
      <c r="A516" s="14" t="s">
        <v>7</v>
      </c>
      <c r="B516" s="10" t="s">
        <v>6</v>
      </c>
      <c r="C516" s="10" t="s">
        <v>5</v>
      </c>
      <c r="D516" s="12">
        <v>1905</v>
      </c>
      <c r="E516" s="13">
        <v>350</v>
      </c>
      <c r="F516" s="12">
        <f t="shared" si="16"/>
        <v>666750</v>
      </c>
      <c r="G516" s="12">
        <v>547170</v>
      </c>
      <c r="H516" s="12">
        <f t="shared" si="17"/>
        <v>119580</v>
      </c>
      <c r="I516" s="11">
        <v>45108</v>
      </c>
      <c r="J516" s="10" t="s">
        <v>20</v>
      </c>
      <c r="K516" s="9">
        <v>2023</v>
      </c>
    </row>
    <row r="517" spans="1:11" x14ac:dyDescent="0.35">
      <c r="A517" s="14" t="s">
        <v>7</v>
      </c>
      <c r="B517" s="10" t="s">
        <v>6</v>
      </c>
      <c r="C517" s="10" t="s">
        <v>5</v>
      </c>
      <c r="D517" s="12">
        <v>3658</v>
      </c>
      <c r="E517" s="13">
        <v>12</v>
      </c>
      <c r="F517" s="12">
        <f t="shared" si="16"/>
        <v>43896</v>
      </c>
      <c r="G517" s="12">
        <v>12078</v>
      </c>
      <c r="H517" s="12">
        <f t="shared" si="17"/>
        <v>31818</v>
      </c>
      <c r="I517" s="11">
        <v>45108</v>
      </c>
      <c r="J517" s="10" t="s">
        <v>20</v>
      </c>
      <c r="K517" s="9">
        <v>2023</v>
      </c>
    </row>
    <row r="518" spans="1:11" x14ac:dyDescent="0.35">
      <c r="A518" s="14" t="s">
        <v>16</v>
      </c>
      <c r="B518" s="10" t="s">
        <v>15</v>
      </c>
      <c r="C518" s="10" t="s">
        <v>5</v>
      </c>
      <c r="D518" s="12">
        <v>4301</v>
      </c>
      <c r="E518" s="13">
        <v>12</v>
      </c>
      <c r="F518" s="12">
        <f t="shared" si="16"/>
        <v>51612</v>
      </c>
      <c r="G518" s="12">
        <v>7276.5</v>
      </c>
      <c r="H518" s="12">
        <f t="shared" si="17"/>
        <v>44335.5</v>
      </c>
      <c r="I518" s="11">
        <v>45108</v>
      </c>
      <c r="J518" s="10" t="s">
        <v>20</v>
      </c>
      <c r="K518" s="9">
        <v>2023</v>
      </c>
    </row>
    <row r="519" spans="1:11" x14ac:dyDescent="0.35">
      <c r="A519" s="14" t="s">
        <v>7</v>
      </c>
      <c r="B519" s="10" t="s">
        <v>6</v>
      </c>
      <c r="C519" s="10" t="s">
        <v>5</v>
      </c>
      <c r="D519" s="12">
        <v>2446</v>
      </c>
      <c r="E519" s="13">
        <v>20</v>
      </c>
      <c r="F519" s="12">
        <f t="shared" si="16"/>
        <v>48920</v>
      </c>
      <c r="G519" s="12">
        <v>23940</v>
      </c>
      <c r="H519" s="12">
        <f t="shared" si="17"/>
        <v>24980</v>
      </c>
      <c r="I519" s="11">
        <v>45139</v>
      </c>
      <c r="J519" s="10" t="s">
        <v>23</v>
      </c>
      <c r="K519" s="9">
        <v>2023</v>
      </c>
    </row>
    <row r="520" spans="1:11" x14ac:dyDescent="0.35">
      <c r="A520" s="14" t="s">
        <v>11</v>
      </c>
      <c r="B520" s="10" t="s">
        <v>10</v>
      </c>
      <c r="C520" s="10" t="s">
        <v>5</v>
      </c>
      <c r="D520" s="12">
        <v>4209</v>
      </c>
      <c r="E520" s="13">
        <v>15</v>
      </c>
      <c r="F520" s="12">
        <f t="shared" si="16"/>
        <v>63135</v>
      </c>
      <c r="G520" s="12">
        <v>19840</v>
      </c>
      <c r="H520" s="12">
        <f t="shared" si="17"/>
        <v>43295</v>
      </c>
      <c r="I520" s="11">
        <v>45139</v>
      </c>
      <c r="J520" s="10" t="s">
        <v>23</v>
      </c>
      <c r="K520" s="9">
        <v>2023</v>
      </c>
    </row>
    <row r="521" spans="1:11" x14ac:dyDescent="0.35">
      <c r="A521" s="14" t="s">
        <v>16</v>
      </c>
      <c r="B521" s="10" t="s">
        <v>15</v>
      </c>
      <c r="C521" s="10" t="s">
        <v>5</v>
      </c>
      <c r="D521" s="12">
        <v>3353</v>
      </c>
      <c r="E521" s="13">
        <v>125</v>
      </c>
      <c r="F521" s="12">
        <f t="shared" si="16"/>
        <v>419125</v>
      </c>
      <c r="G521" s="12">
        <v>292920</v>
      </c>
      <c r="H521" s="12">
        <f t="shared" si="17"/>
        <v>126205</v>
      </c>
      <c r="I521" s="11">
        <v>45200</v>
      </c>
      <c r="J521" s="10" t="s">
        <v>12</v>
      </c>
      <c r="K521" s="9">
        <v>2023</v>
      </c>
    </row>
    <row r="522" spans="1:11" x14ac:dyDescent="0.35">
      <c r="A522" s="14" t="s">
        <v>19</v>
      </c>
      <c r="B522" s="10" t="s">
        <v>6</v>
      </c>
      <c r="C522" s="10" t="s">
        <v>5</v>
      </c>
      <c r="D522" s="12">
        <v>1401</v>
      </c>
      <c r="E522" s="13">
        <v>20</v>
      </c>
      <c r="F522" s="12">
        <f t="shared" si="16"/>
        <v>28020</v>
      </c>
      <c r="G522" s="12">
        <v>29920</v>
      </c>
      <c r="H522" s="12">
        <f t="shared" si="17"/>
        <v>-1900</v>
      </c>
      <c r="I522" s="11">
        <v>44835</v>
      </c>
      <c r="J522" s="10" t="s">
        <v>12</v>
      </c>
      <c r="K522" s="9">
        <v>2022</v>
      </c>
    </row>
    <row r="523" spans="1:11" x14ac:dyDescent="0.35">
      <c r="A523" s="14" t="s">
        <v>7</v>
      </c>
      <c r="B523" s="10" t="s">
        <v>6</v>
      </c>
      <c r="C523" s="10" t="s">
        <v>5</v>
      </c>
      <c r="D523" s="12">
        <v>1865</v>
      </c>
      <c r="E523" s="13">
        <v>300</v>
      </c>
      <c r="F523" s="12">
        <f t="shared" si="16"/>
        <v>559500</v>
      </c>
      <c r="G523" s="12">
        <v>341500</v>
      </c>
      <c r="H523" s="12">
        <f t="shared" si="17"/>
        <v>218000</v>
      </c>
      <c r="I523" s="11">
        <v>45231</v>
      </c>
      <c r="J523" s="10" t="s">
        <v>18</v>
      </c>
      <c r="K523" s="9">
        <v>2023</v>
      </c>
    </row>
    <row r="524" spans="1:11" x14ac:dyDescent="0.35">
      <c r="A524" s="14" t="s">
        <v>16</v>
      </c>
      <c r="B524" s="10" t="s">
        <v>15</v>
      </c>
      <c r="C524" s="10" t="s">
        <v>21</v>
      </c>
      <c r="D524" s="12">
        <v>463</v>
      </c>
      <c r="E524" s="13">
        <v>20</v>
      </c>
      <c r="F524" s="12">
        <f t="shared" si="16"/>
        <v>9260</v>
      </c>
      <c r="G524" s="12">
        <v>28050</v>
      </c>
      <c r="H524" s="12">
        <f t="shared" si="17"/>
        <v>-18790</v>
      </c>
      <c r="I524" s="11">
        <v>44805</v>
      </c>
      <c r="J524" s="10" t="s">
        <v>22</v>
      </c>
      <c r="K524" s="9">
        <v>2022</v>
      </c>
    </row>
    <row r="525" spans="1:11" x14ac:dyDescent="0.35">
      <c r="A525" s="14" t="s">
        <v>11</v>
      </c>
      <c r="B525" s="10" t="s">
        <v>10</v>
      </c>
      <c r="C525" s="10" t="s">
        <v>21</v>
      </c>
      <c r="D525" s="12">
        <v>4177</v>
      </c>
      <c r="E525" s="13">
        <v>15</v>
      </c>
      <c r="F525" s="12">
        <f t="shared" si="16"/>
        <v>62655</v>
      </c>
      <c r="G525" s="12">
        <v>6550</v>
      </c>
      <c r="H525" s="12">
        <f t="shared" si="17"/>
        <v>56105</v>
      </c>
      <c r="I525" s="11">
        <v>44805</v>
      </c>
      <c r="J525" s="10" t="s">
        <v>22</v>
      </c>
      <c r="K525" s="9">
        <v>2022</v>
      </c>
    </row>
    <row r="526" spans="1:11" x14ac:dyDescent="0.35">
      <c r="A526" s="14" t="s">
        <v>11</v>
      </c>
      <c r="B526" s="10" t="s">
        <v>10</v>
      </c>
      <c r="C526" s="10" t="s">
        <v>21</v>
      </c>
      <c r="D526" s="12">
        <v>2523</v>
      </c>
      <c r="E526" s="13">
        <v>350</v>
      </c>
      <c r="F526" s="12">
        <f t="shared" si="16"/>
        <v>883050</v>
      </c>
      <c r="G526" s="12">
        <v>89440</v>
      </c>
      <c r="H526" s="12">
        <f t="shared" si="17"/>
        <v>793610</v>
      </c>
      <c r="I526" s="11">
        <v>44835</v>
      </c>
      <c r="J526" s="10" t="s">
        <v>12</v>
      </c>
      <c r="K526" s="9">
        <v>2022</v>
      </c>
    </row>
    <row r="527" spans="1:11" x14ac:dyDescent="0.35">
      <c r="A527" s="14" t="s">
        <v>7</v>
      </c>
      <c r="B527" s="10" t="s">
        <v>6</v>
      </c>
      <c r="C527" s="10" t="s">
        <v>21</v>
      </c>
      <c r="D527" s="12">
        <v>1930</v>
      </c>
      <c r="E527" s="13">
        <v>7</v>
      </c>
      <c r="F527" s="12">
        <f t="shared" si="16"/>
        <v>13510</v>
      </c>
      <c r="G527" s="12">
        <v>9040</v>
      </c>
      <c r="H527" s="12">
        <f t="shared" si="17"/>
        <v>4470</v>
      </c>
      <c r="I527" s="11">
        <v>45231</v>
      </c>
      <c r="J527" s="10" t="s">
        <v>18</v>
      </c>
      <c r="K527" s="9">
        <v>2023</v>
      </c>
    </row>
    <row r="528" spans="1:11" x14ac:dyDescent="0.35">
      <c r="A528" s="14" t="s">
        <v>16</v>
      </c>
      <c r="B528" s="10" t="s">
        <v>15</v>
      </c>
      <c r="C528" s="10" t="s">
        <v>1</v>
      </c>
      <c r="D528" s="12">
        <v>1301</v>
      </c>
      <c r="E528" s="13">
        <v>12</v>
      </c>
      <c r="F528" s="12">
        <f t="shared" si="16"/>
        <v>15612</v>
      </c>
      <c r="G528" s="12">
        <v>5202</v>
      </c>
      <c r="H528" s="12">
        <f t="shared" si="17"/>
        <v>10410</v>
      </c>
      <c r="I528" s="11">
        <v>44927</v>
      </c>
      <c r="J528" s="10" t="s">
        <v>25</v>
      </c>
      <c r="K528" s="9">
        <v>2023</v>
      </c>
    </row>
    <row r="529" spans="1:11" x14ac:dyDescent="0.35">
      <c r="A529" s="14" t="s">
        <v>11</v>
      </c>
      <c r="B529" s="10" t="s">
        <v>10</v>
      </c>
      <c r="C529" s="10" t="s">
        <v>1</v>
      </c>
      <c r="D529" s="12">
        <v>4125</v>
      </c>
      <c r="E529" s="13">
        <v>125</v>
      </c>
      <c r="F529" s="12">
        <f t="shared" si="16"/>
        <v>515625</v>
      </c>
      <c r="G529" s="12">
        <v>66480</v>
      </c>
      <c r="H529" s="12">
        <f t="shared" si="17"/>
        <v>449145</v>
      </c>
      <c r="I529" s="11">
        <v>44927</v>
      </c>
      <c r="J529" s="10" t="s">
        <v>25</v>
      </c>
      <c r="K529" s="9">
        <v>2023</v>
      </c>
    </row>
    <row r="530" spans="1:11" x14ac:dyDescent="0.35">
      <c r="A530" s="14" t="s">
        <v>7</v>
      </c>
      <c r="B530" s="10" t="s">
        <v>6</v>
      </c>
      <c r="C530" s="10" t="s">
        <v>1</v>
      </c>
      <c r="D530" s="12">
        <v>607</v>
      </c>
      <c r="E530" s="13">
        <v>20</v>
      </c>
      <c r="F530" s="12">
        <f t="shared" si="16"/>
        <v>12140</v>
      </c>
      <c r="G530" s="12">
        <v>29350</v>
      </c>
      <c r="H530" s="12">
        <f t="shared" si="17"/>
        <v>-17210</v>
      </c>
      <c r="I530" s="11">
        <v>44866</v>
      </c>
      <c r="J530" s="10" t="s">
        <v>18</v>
      </c>
      <c r="K530" s="9">
        <v>2022</v>
      </c>
    </row>
    <row r="531" spans="1:11" x14ac:dyDescent="0.35">
      <c r="A531" s="14" t="s">
        <v>19</v>
      </c>
      <c r="B531" s="10" t="s">
        <v>6</v>
      </c>
      <c r="C531" s="10" t="s">
        <v>13</v>
      </c>
      <c r="D531" s="12">
        <v>478</v>
      </c>
      <c r="E531" s="13">
        <v>125</v>
      </c>
      <c r="F531" s="12">
        <f t="shared" si="16"/>
        <v>59750</v>
      </c>
      <c r="G531" s="12">
        <v>379800</v>
      </c>
      <c r="H531" s="12">
        <f t="shared" si="17"/>
        <v>-320050</v>
      </c>
      <c r="I531" s="11">
        <v>44927</v>
      </c>
      <c r="J531" s="10" t="s">
        <v>25</v>
      </c>
      <c r="K531" s="9">
        <v>2023</v>
      </c>
    </row>
    <row r="532" spans="1:11" x14ac:dyDescent="0.35">
      <c r="A532" s="14" t="s">
        <v>11</v>
      </c>
      <c r="B532" s="10" t="s">
        <v>10</v>
      </c>
      <c r="C532" s="10" t="s">
        <v>13</v>
      </c>
      <c r="D532" s="12">
        <v>4489</v>
      </c>
      <c r="E532" s="13">
        <v>20</v>
      </c>
      <c r="F532" s="12">
        <f t="shared" si="16"/>
        <v>89780</v>
      </c>
      <c r="G532" s="12">
        <v>26290</v>
      </c>
      <c r="H532" s="12">
        <f t="shared" si="17"/>
        <v>63490</v>
      </c>
      <c r="I532" s="11">
        <v>44927</v>
      </c>
      <c r="J532" s="10" t="s">
        <v>25</v>
      </c>
      <c r="K532" s="9">
        <v>2023</v>
      </c>
    </row>
    <row r="533" spans="1:11" x14ac:dyDescent="0.35">
      <c r="A533" s="14" t="s">
        <v>16</v>
      </c>
      <c r="B533" s="10" t="s">
        <v>15</v>
      </c>
      <c r="C533" s="10" t="s">
        <v>13</v>
      </c>
      <c r="D533" s="12">
        <v>1504</v>
      </c>
      <c r="E533" s="13">
        <v>125</v>
      </c>
      <c r="F533" s="12">
        <f t="shared" si="16"/>
        <v>188000</v>
      </c>
      <c r="G533" s="12">
        <v>171960</v>
      </c>
      <c r="H533" s="12">
        <f t="shared" si="17"/>
        <v>16040</v>
      </c>
      <c r="I533" s="11">
        <v>45047</v>
      </c>
      <c r="J533" s="10" t="s">
        <v>0</v>
      </c>
      <c r="K533" s="9">
        <v>2023</v>
      </c>
    </row>
    <row r="534" spans="1:11" x14ac:dyDescent="0.35">
      <c r="A534" s="14" t="s">
        <v>11</v>
      </c>
      <c r="B534" s="10" t="s">
        <v>10</v>
      </c>
      <c r="C534" s="10" t="s">
        <v>13</v>
      </c>
      <c r="D534" s="12">
        <v>3763</v>
      </c>
      <c r="E534" s="13">
        <v>125</v>
      </c>
      <c r="F534" s="12">
        <f t="shared" si="16"/>
        <v>470375</v>
      </c>
      <c r="G534" s="12">
        <v>113640</v>
      </c>
      <c r="H534" s="12">
        <f t="shared" si="17"/>
        <v>356735</v>
      </c>
      <c r="I534" s="11">
        <v>44805</v>
      </c>
      <c r="J534" s="10" t="s">
        <v>22</v>
      </c>
      <c r="K534" s="9">
        <v>2022</v>
      </c>
    </row>
    <row r="535" spans="1:11" x14ac:dyDescent="0.35">
      <c r="A535" s="14" t="s">
        <v>11</v>
      </c>
      <c r="B535" s="10" t="s">
        <v>10</v>
      </c>
      <c r="C535" s="10" t="s">
        <v>13</v>
      </c>
      <c r="D535" s="12">
        <v>2412</v>
      </c>
      <c r="E535" s="13">
        <v>350</v>
      </c>
      <c r="F535" s="12">
        <f t="shared" si="16"/>
        <v>844200</v>
      </c>
      <c r="G535" s="12">
        <v>89440</v>
      </c>
      <c r="H535" s="12">
        <f t="shared" si="17"/>
        <v>754760</v>
      </c>
      <c r="I535" s="11">
        <v>44835</v>
      </c>
      <c r="J535" s="10" t="s">
        <v>12</v>
      </c>
      <c r="K535" s="9">
        <v>2022</v>
      </c>
    </row>
    <row r="536" spans="1:11" x14ac:dyDescent="0.35">
      <c r="A536" s="14" t="s">
        <v>11</v>
      </c>
      <c r="B536" s="10" t="s">
        <v>10</v>
      </c>
      <c r="C536" s="10" t="s">
        <v>13</v>
      </c>
      <c r="D536" s="12">
        <v>2342</v>
      </c>
      <c r="E536" s="13">
        <v>15</v>
      </c>
      <c r="F536" s="12">
        <f t="shared" si="16"/>
        <v>35130</v>
      </c>
      <c r="G536" s="12">
        <v>21570</v>
      </c>
      <c r="H536" s="12">
        <f t="shared" si="17"/>
        <v>13560</v>
      </c>
      <c r="I536" s="11">
        <v>45261</v>
      </c>
      <c r="J536" s="10" t="s">
        <v>17</v>
      </c>
      <c r="K536" s="9">
        <v>2023</v>
      </c>
    </row>
    <row r="537" spans="1:11" x14ac:dyDescent="0.35">
      <c r="A537" s="14" t="s">
        <v>3</v>
      </c>
      <c r="B537" s="10" t="s">
        <v>2</v>
      </c>
      <c r="C537" s="10" t="s">
        <v>5</v>
      </c>
      <c r="D537" s="12">
        <v>4451</v>
      </c>
      <c r="E537" s="13">
        <v>7</v>
      </c>
      <c r="F537" s="12">
        <f t="shared" si="16"/>
        <v>31157</v>
      </c>
      <c r="G537" s="12">
        <v>1900</v>
      </c>
      <c r="H537" s="12">
        <f t="shared" si="17"/>
        <v>29257</v>
      </c>
      <c r="I537" s="11">
        <v>44805</v>
      </c>
      <c r="J537" s="10" t="s">
        <v>22</v>
      </c>
      <c r="K537" s="9">
        <v>2022</v>
      </c>
    </row>
    <row r="538" spans="1:11" x14ac:dyDescent="0.35">
      <c r="A538" s="14" t="s">
        <v>11</v>
      </c>
      <c r="B538" s="10" t="s">
        <v>10</v>
      </c>
      <c r="C538" s="10" t="s">
        <v>24</v>
      </c>
      <c r="D538" s="12">
        <v>3796</v>
      </c>
      <c r="E538" s="13">
        <v>350</v>
      </c>
      <c r="F538" s="12">
        <f t="shared" si="16"/>
        <v>1328600</v>
      </c>
      <c r="G538" s="12">
        <v>230360</v>
      </c>
      <c r="H538" s="12">
        <f t="shared" si="17"/>
        <v>1098240</v>
      </c>
      <c r="I538" s="11">
        <v>45078</v>
      </c>
      <c r="J538" s="10" t="s">
        <v>26</v>
      </c>
      <c r="K538" s="9">
        <v>2023</v>
      </c>
    </row>
    <row r="539" spans="1:11" x14ac:dyDescent="0.35">
      <c r="A539" s="14" t="s">
        <v>7</v>
      </c>
      <c r="B539" s="10" t="s">
        <v>6</v>
      </c>
      <c r="C539" s="10" t="s">
        <v>24</v>
      </c>
      <c r="D539" s="12">
        <v>2286</v>
      </c>
      <c r="E539" s="13">
        <v>125</v>
      </c>
      <c r="F539" s="12">
        <f t="shared" si="16"/>
        <v>285750</v>
      </c>
      <c r="G539" s="12">
        <v>289920</v>
      </c>
      <c r="H539" s="12">
        <f t="shared" si="17"/>
        <v>-4170</v>
      </c>
      <c r="I539" s="11">
        <v>44805</v>
      </c>
      <c r="J539" s="10" t="s">
        <v>22</v>
      </c>
      <c r="K539" s="9">
        <v>2022</v>
      </c>
    </row>
    <row r="540" spans="1:11" x14ac:dyDescent="0.35">
      <c r="A540" s="14" t="s">
        <v>11</v>
      </c>
      <c r="B540" s="10" t="s">
        <v>10</v>
      </c>
      <c r="C540" s="10" t="s">
        <v>24</v>
      </c>
      <c r="D540" s="12">
        <v>3614</v>
      </c>
      <c r="E540" s="13">
        <v>125</v>
      </c>
      <c r="F540" s="12">
        <f t="shared" si="16"/>
        <v>451750</v>
      </c>
      <c r="G540" s="12">
        <v>258720</v>
      </c>
      <c r="H540" s="12">
        <f t="shared" si="17"/>
        <v>193030</v>
      </c>
      <c r="I540" s="11">
        <v>45200</v>
      </c>
      <c r="J540" s="10" t="s">
        <v>12</v>
      </c>
      <c r="K540" s="9">
        <v>2023</v>
      </c>
    </row>
    <row r="541" spans="1:11" x14ac:dyDescent="0.35">
      <c r="A541" s="14" t="s">
        <v>7</v>
      </c>
      <c r="B541" s="10" t="s">
        <v>6</v>
      </c>
      <c r="C541" s="10" t="s">
        <v>24</v>
      </c>
      <c r="D541" s="12">
        <v>1716</v>
      </c>
      <c r="E541" s="13">
        <v>15</v>
      </c>
      <c r="F541" s="12">
        <f t="shared" si="16"/>
        <v>25740</v>
      </c>
      <c r="G541" s="12">
        <v>26890</v>
      </c>
      <c r="H541" s="12">
        <f t="shared" si="17"/>
        <v>-1150</v>
      </c>
      <c r="I541" s="11">
        <v>45231</v>
      </c>
      <c r="J541" s="10" t="s">
        <v>18</v>
      </c>
      <c r="K541" s="9">
        <v>2023</v>
      </c>
    </row>
    <row r="542" spans="1:11" x14ac:dyDescent="0.35">
      <c r="A542" s="14" t="s">
        <v>3</v>
      </c>
      <c r="B542" s="10" t="s">
        <v>2</v>
      </c>
      <c r="C542" s="10" t="s">
        <v>9</v>
      </c>
      <c r="D542" s="12">
        <v>1301</v>
      </c>
      <c r="E542" s="13">
        <v>15</v>
      </c>
      <c r="F542" s="12">
        <f t="shared" si="16"/>
        <v>19515</v>
      </c>
      <c r="G542" s="12">
        <v>6770</v>
      </c>
      <c r="H542" s="12">
        <f t="shared" si="17"/>
        <v>12745</v>
      </c>
      <c r="I542" s="11">
        <v>44986</v>
      </c>
      <c r="J542" s="10" t="s">
        <v>14</v>
      </c>
      <c r="K542" s="9">
        <v>2023</v>
      </c>
    </row>
    <row r="543" spans="1:11" x14ac:dyDescent="0.35">
      <c r="A543" s="14" t="s">
        <v>16</v>
      </c>
      <c r="B543" s="10" t="s">
        <v>15</v>
      </c>
      <c r="C543" s="10" t="s">
        <v>9</v>
      </c>
      <c r="D543" s="12">
        <v>4175</v>
      </c>
      <c r="E543" s="13">
        <v>300</v>
      </c>
      <c r="F543" s="12">
        <f t="shared" si="16"/>
        <v>1252500</v>
      </c>
      <c r="G543" s="12">
        <v>443250</v>
      </c>
      <c r="H543" s="12">
        <f t="shared" si="17"/>
        <v>809250</v>
      </c>
      <c r="I543" s="11">
        <v>45017</v>
      </c>
      <c r="J543" s="10" t="s">
        <v>4</v>
      </c>
      <c r="K543" s="9">
        <v>2023</v>
      </c>
    </row>
    <row r="544" spans="1:11" x14ac:dyDescent="0.35">
      <c r="A544" s="14" t="s">
        <v>11</v>
      </c>
      <c r="B544" s="10" t="s">
        <v>10</v>
      </c>
      <c r="C544" s="10" t="s">
        <v>9</v>
      </c>
      <c r="D544" s="12">
        <v>975</v>
      </c>
      <c r="E544" s="13">
        <v>7</v>
      </c>
      <c r="F544" s="12">
        <f t="shared" si="16"/>
        <v>6825</v>
      </c>
      <c r="G544" s="12">
        <v>12100</v>
      </c>
      <c r="H544" s="12">
        <f t="shared" si="17"/>
        <v>-5275</v>
      </c>
      <c r="I544" s="11">
        <v>45170</v>
      </c>
      <c r="J544" s="10" t="s">
        <v>22</v>
      </c>
      <c r="K544" s="9">
        <v>2023</v>
      </c>
    </row>
    <row r="545" spans="1:11" x14ac:dyDescent="0.35">
      <c r="A545" s="14" t="s">
        <v>7</v>
      </c>
      <c r="B545" s="10" t="s">
        <v>6</v>
      </c>
      <c r="C545" s="10" t="s">
        <v>9</v>
      </c>
      <c r="D545" s="12">
        <v>1154</v>
      </c>
      <c r="E545" s="13">
        <v>7</v>
      </c>
      <c r="F545" s="12">
        <f t="shared" si="16"/>
        <v>8078</v>
      </c>
      <c r="G545" s="12">
        <v>13670</v>
      </c>
      <c r="H545" s="12">
        <f t="shared" si="17"/>
        <v>-5592</v>
      </c>
      <c r="I545" s="11">
        <v>45200</v>
      </c>
      <c r="J545" s="10" t="s">
        <v>12</v>
      </c>
      <c r="K545" s="9">
        <v>2023</v>
      </c>
    </row>
    <row r="546" spans="1:11" x14ac:dyDescent="0.35">
      <c r="A546" s="14" t="s">
        <v>11</v>
      </c>
      <c r="B546" s="10" t="s">
        <v>10</v>
      </c>
      <c r="C546" s="10" t="s">
        <v>9</v>
      </c>
      <c r="D546" s="12">
        <v>1873</v>
      </c>
      <c r="E546" s="13">
        <v>20</v>
      </c>
      <c r="F546" s="12">
        <f t="shared" si="16"/>
        <v>37460</v>
      </c>
      <c r="G546" s="12">
        <v>17150</v>
      </c>
      <c r="H546" s="12">
        <f t="shared" si="17"/>
        <v>20310</v>
      </c>
      <c r="I546" s="11">
        <v>44835</v>
      </c>
      <c r="J546" s="10" t="s">
        <v>12</v>
      </c>
      <c r="K546" s="9">
        <v>2022</v>
      </c>
    </row>
    <row r="547" spans="1:11" x14ac:dyDescent="0.35">
      <c r="A547" s="14" t="s">
        <v>16</v>
      </c>
      <c r="B547" s="10" t="s">
        <v>15</v>
      </c>
      <c r="C547" s="10" t="s">
        <v>9</v>
      </c>
      <c r="D547" s="12">
        <v>3766</v>
      </c>
      <c r="E547" s="13">
        <v>300</v>
      </c>
      <c r="F547" s="12">
        <f t="shared" si="16"/>
        <v>1129800</v>
      </c>
      <c r="G547" s="12">
        <v>296500</v>
      </c>
      <c r="H547" s="12">
        <f t="shared" si="17"/>
        <v>833300</v>
      </c>
      <c r="I547" s="11">
        <v>44896</v>
      </c>
      <c r="J547" s="10" t="s">
        <v>17</v>
      </c>
      <c r="K547" s="9">
        <v>2022</v>
      </c>
    </row>
    <row r="548" spans="1:11" x14ac:dyDescent="0.35">
      <c r="A548" s="14" t="s">
        <v>3</v>
      </c>
      <c r="B548" s="10" t="s">
        <v>2</v>
      </c>
      <c r="C548" s="10" t="s">
        <v>5</v>
      </c>
      <c r="D548" s="12">
        <v>3558</v>
      </c>
      <c r="E548" s="13">
        <v>300</v>
      </c>
      <c r="F548" s="12">
        <f t="shared" si="16"/>
        <v>1067400</v>
      </c>
      <c r="G548" s="12">
        <v>873750</v>
      </c>
      <c r="H548" s="12">
        <f t="shared" si="17"/>
        <v>193650</v>
      </c>
      <c r="I548" s="11">
        <v>44927</v>
      </c>
      <c r="J548" s="10" t="s">
        <v>25</v>
      </c>
      <c r="K548" s="9">
        <v>2023</v>
      </c>
    </row>
    <row r="549" spans="1:11" x14ac:dyDescent="0.35">
      <c r="A549" s="14" t="s">
        <v>11</v>
      </c>
      <c r="B549" s="10" t="s">
        <v>10</v>
      </c>
      <c r="C549" s="10" t="s">
        <v>5</v>
      </c>
      <c r="D549" s="12">
        <v>3156</v>
      </c>
      <c r="E549" s="13">
        <v>350</v>
      </c>
      <c r="F549" s="12">
        <f t="shared" si="16"/>
        <v>1104600</v>
      </c>
      <c r="G549" s="12">
        <v>230360</v>
      </c>
      <c r="H549" s="12">
        <f t="shared" si="17"/>
        <v>874240</v>
      </c>
      <c r="I549" s="11">
        <v>45078</v>
      </c>
      <c r="J549" s="10" t="s">
        <v>26</v>
      </c>
      <c r="K549" s="9">
        <v>2023</v>
      </c>
    </row>
    <row r="550" spans="1:11" x14ac:dyDescent="0.35">
      <c r="A550" s="14" t="s">
        <v>11</v>
      </c>
      <c r="B550" s="10" t="s">
        <v>10</v>
      </c>
      <c r="C550" s="10" t="s">
        <v>5</v>
      </c>
      <c r="D550" s="12">
        <v>2994</v>
      </c>
      <c r="E550" s="13">
        <v>125</v>
      </c>
      <c r="F550" s="12">
        <f t="shared" si="16"/>
        <v>374250</v>
      </c>
      <c r="G550" s="12">
        <v>258720</v>
      </c>
      <c r="H550" s="12">
        <f t="shared" si="17"/>
        <v>115530</v>
      </c>
      <c r="I550" s="11">
        <v>45200</v>
      </c>
      <c r="J550" s="10" t="s">
        <v>12</v>
      </c>
      <c r="K550" s="9">
        <v>2023</v>
      </c>
    </row>
    <row r="551" spans="1:11" x14ac:dyDescent="0.35">
      <c r="A551" s="14" t="s">
        <v>11</v>
      </c>
      <c r="B551" s="10" t="s">
        <v>10</v>
      </c>
      <c r="C551" s="10" t="s">
        <v>5</v>
      </c>
      <c r="D551" s="12">
        <v>2087</v>
      </c>
      <c r="E551" s="13">
        <v>20</v>
      </c>
      <c r="F551" s="12">
        <f t="shared" si="16"/>
        <v>41740</v>
      </c>
      <c r="G551" s="12">
        <v>9050</v>
      </c>
      <c r="H551" s="12">
        <f t="shared" si="17"/>
        <v>32690</v>
      </c>
      <c r="I551" s="11">
        <v>45200</v>
      </c>
      <c r="J551" s="10" t="s">
        <v>12</v>
      </c>
      <c r="K551" s="9">
        <v>2023</v>
      </c>
    </row>
    <row r="552" spans="1:11" x14ac:dyDescent="0.35">
      <c r="A552" s="14" t="s">
        <v>11</v>
      </c>
      <c r="B552" s="10" t="s">
        <v>10</v>
      </c>
      <c r="C552" s="10" t="s">
        <v>5</v>
      </c>
      <c r="D552" s="12">
        <v>1056</v>
      </c>
      <c r="E552" s="13">
        <v>20</v>
      </c>
      <c r="F552" s="12">
        <f t="shared" si="16"/>
        <v>21120</v>
      </c>
      <c r="G552" s="12">
        <v>17150</v>
      </c>
      <c r="H552" s="12">
        <f t="shared" si="17"/>
        <v>3970</v>
      </c>
      <c r="I552" s="11">
        <v>44835</v>
      </c>
      <c r="J552" s="10" t="s">
        <v>12</v>
      </c>
      <c r="K552" s="9">
        <v>2022</v>
      </c>
    </row>
    <row r="553" spans="1:11" x14ac:dyDescent="0.35">
      <c r="A553" s="14" t="s">
        <v>16</v>
      </c>
      <c r="B553" s="10" t="s">
        <v>15</v>
      </c>
      <c r="C553" s="10" t="s">
        <v>5</v>
      </c>
      <c r="D553" s="12">
        <v>1353</v>
      </c>
      <c r="E553" s="13">
        <v>350</v>
      </c>
      <c r="F553" s="12">
        <f t="shared" si="16"/>
        <v>473550</v>
      </c>
      <c r="G553" s="12">
        <v>414440</v>
      </c>
      <c r="H553" s="12">
        <f t="shared" si="17"/>
        <v>59110</v>
      </c>
      <c r="I553" s="11">
        <v>45231</v>
      </c>
      <c r="J553" s="10" t="s">
        <v>18</v>
      </c>
      <c r="K553" s="9">
        <v>2023</v>
      </c>
    </row>
    <row r="554" spans="1:11" x14ac:dyDescent="0.35">
      <c r="A554" s="14" t="s">
        <v>19</v>
      </c>
      <c r="B554" s="10" t="s">
        <v>6</v>
      </c>
      <c r="C554" s="10" t="s">
        <v>5</v>
      </c>
      <c r="D554" s="12">
        <v>416</v>
      </c>
      <c r="E554" s="13">
        <v>300</v>
      </c>
      <c r="F554" s="12">
        <f t="shared" si="16"/>
        <v>124800</v>
      </c>
      <c r="G554" s="12">
        <v>339750</v>
      </c>
      <c r="H554" s="12">
        <f t="shared" si="17"/>
        <v>-214950</v>
      </c>
      <c r="I554" s="11">
        <v>45231</v>
      </c>
      <c r="J554" s="10" t="s">
        <v>18</v>
      </c>
      <c r="K554" s="9">
        <v>2023</v>
      </c>
    </row>
    <row r="555" spans="1:11" x14ac:dyDescent="0.35">
      <c r="A555" s="14" t="s">
        <v>11</v>
      </c>
      <c r="B555" s="10" t="s">
        <v>10</v>
      </c>
      <c r="C555" s="10" t="s">
        <v>5</v>
      </c>
      <c r="D555" s="12">
        <v>3880</v>
      </c>
      <c r="E555" s="13">
        <v>300</v>
      </c>
      <c r="F555" s="12">
        <f t="shared" si="16"/>
        <v>1164000</v>
      </c>
      <c r="G555" s="12">
        <v>537500</v>
      </c>
      <c r="H555" s="12">
        <f t="shared" si="17"/>
        <v>626500</v>
      </c>
      <c r="I555" s="11">
        <v>45231</v>
      </c>
      <c r="J555" s="10" t="s">
        <v>18</v>
      </c>
      <c r="K555" s="9">
        <v>2023</v>
      </c>
    </row>
    <row r="556" spans="1:11" x14ac:dyDescent="0.35">
      <c r="A556" s="14" t="s">
        <v>11</v>
      </c>
      <c r="B556" s="10" t="s">
        <v>10</v>
      </c>
      <c r="C556" s="10" t="s">
        <v>5</v>
      </c>
      <c r="D556" s="12">
        <v>809</v>
      </c>
      <c r="E556" s="13">
        <v>350</v>
      </c>
      <c r="F556" s="12">
        <f t="shared" si="16"/>
        <v>283150</v>
      </c>
      <c r="G556" s="12">
        <v>311220</v>
      </c>
      <c r="H556" s="12">
        <f t="shared" si="17"/>
        <v>-28070</v>
      </c>
      <c r="I556" s="11">
        <v>45231</v>
      </c>
      <c r="J556" s="10" t="s">
        <v>18</v>
      </c>
      <c r="K556" s="9">
        <v>2023</v>
      </c>
    </row>
    <row r="557" spans="1:11" x14ac:dyDescent="0.35">
      <c r="A557" s="14" t="s">
        <v>11</v>
      </c>
      <c r="B557" s="10" t="s">
        <v>10</v>
      </c>
      <c r="C557" s="10" t="s">
        <v>5</v>
      </c>
      <c r="D557" s="12">
        <v>1892</v>
      </c>
      <c r="E557" s="13">
        <v>15</v>
      </c>
      <c r="F557" s="12">
        <f t="shared" si="16"/>
        <v>28380</v>
      </c>
      <c r="G557" s="12">
        <v>3800</v>
      </c>
      <c r="H557" s="12">
        <f t="shared" si="17"/>
        <v>24580</v>
      </c>
      <c r="I557" s="11">
        <v>44896</v>
      </c>
      <c r="J557" s="10" t="s">
        <v>17</v>
      </c>
      <c r="K557" s="9">
        <v>2022</v>
      </c>
    </row>
    <row r="558" spans="1:11" x14ac:dyDescent="0.35">
      <c r="A558" s="14" t="s">
        <v>11</v>
      </c>
      <c r="B558" s="10" t="s">
        <v>10</v>
      </c>
      <c r="C558" s="10" t="s">
        <v>5</v>
      </c>
      <c r="D558" s="12">
        <v>2072</v>
      </c>
      <c r="E558" s="13">
        <v>20</v>
      </c>
      <c r="F558" s="12">
        <f t="shared" si="16"/>
        <v>41440</v>
      </c>
      <c r="G558" s="12">
        <v>12330</v>
      </c>
      <c r="H558" s="12">
        <f t="shared" si="17"/>
        <v>29110</v>
      </c>
      <c r="I558" s="11">
        <v>45261</v>
      </c>
      <c r="J558" s="10" t="s">
        <v>17</v>
      </c>
      <c r="K558" s="9">
        <v>2023</v>
      </c>
    </row>
    <row r="559" spans="1:11" x14ac:dyDescent="0.35">
      <c r="A559" s="14" t="s">
        <v>11</v>
      </c>
      <c r="B559" s="10" t="s">
        <v>10</v>
      </c>
      <c r="C559" s="10" t="s">
        <v>21</v>
      </c>
      <c r="D559" s="12">
        <v>3052</v>
      </c>
      <c r="E559" s="13">
        <v>350</v>
      </c>
      <c r="F559" s="12">
        <f t="shared" si="16"/>
        <v>1068200</v>
      </c>
      <c r="G559" s="12">
        <v>362700</v>
      </c>
      <c r="H559" s="12">
        <f t="shared" si="17"/>
        <v>705500</v>
      </c>
      <c r="I559" s="11">
        <v>45108</v>
      </c>
      <c r="J559" s="10" t="s">
        <v>20</v>
      </c>
      <c r="K559" s="9">
        <v>2023</v>
      </c>
    </row>
    <row r="560" spans="1:11" x14ac:dyDescent="0.35">
      <c r="A560" s="14" t="s">
        <v>3</v>
      </c>
      <c r="B560" s="10" t="s">
        <v>2</v>
      </c>
      <c r="C560" s="10" t="s">
        <v>21</v>
      </c>
      <c r="D560" s="12">
        <v>3121</v>
      </c>
      <c r="E560" s="13">
        <v>350</v>
      </c>
      <c r="F560" s="12">
        <f t="shared" si="16"/>
        <v>1092350</v>
      </c>
      <c r="G560" s="12">
        <v>256360</v>
      </c>
      <c r="H560" s="12">
        <f t="shared" si="17"/>
        <v>835990</v>
      </c>
      <c r="I560" s="11">
        <v>45200</v>
      </c>
      <c r="J560" s="10" t="s">
        <v>12</v>
      </c>
      <c r="K560" s="9">
        <v>2023</v>
      </c>
    </row>
    <row r="561" spans="1:11" x14ac:dyDescent="0.35">
      <c r="A561" s="14" t="s">
        <v>11</v>
      </c>
      <c r="B561" s="10" t="s">
        <v>10</v>
      </c>
      <c r="C561" s="10" t="s">
        <v>21</v>
      </c>
      <c r="D561" s="12">
        <v>2059</v>
      </c>
      <c r="E561" s="13">
        <v>20</v>
      </c>
      <c r="F561" s="12">
        <f t="shared" si="16"/>
        <v>41180</v>
      </c>
      <c r="G561" s="12">
        <v>9050</v>
      </c>
      <c r="H561" s="12">
        <f t="shared" si="17"/>
        <v>32130</v>
      </c>
      <c r="I561" s="11">
        <v>45200</v>
      </c>
      <c r="J561" s="10" t="s">
        <v>12</v>
      </c>
      <c r="K561" s="9">
        <v>2023</v>
      </c>
    </row>
    <row r="562" spans="1:11" x14ac:dyDescent="0.35">
      <c r="A562" s="14" t="s">
        <v>7</v>
      </c>
      <c r="B562" s="10" t="s">
        <v>6</v>
      </c>
      <c r="C562" s="10" t="s">
        <v>1</v>
      </c>
      <c r="D562" s="12">
        <v>4254</v>
      </c>
      <c r="E562" s="13">
        <v>12</v>
      </c>
      <c r="F562" s="12">
        <f t="shared" si="16"/>
        <v>51048</v>
      </c>
      <c r="G562" s="12">
        <v>6327</v>
      </c>
      <c r="H562" s="12">
        <f t="shared" si="17"/>
        <v>44721</v>
      </c>
      <c r="I562" s="11">
        <v>45047</v>
      </c>
      <c r="J562" s="10" t="s">
        <v>0</v>
      </c>
      <c r="K562" s="9">
        <v>2023</v>
      </c>
    </row>
    <row r="563" spans="1:11" x14ac:dyDescent="0.35">
      <c r="A563" s="14" t="s">
        <v>16</v>
      </c>
      <c r="B563" s="10" t="s">
        <v>15</v>
      </c>
      <c r="C563" s="10" t="s">
        <v>1</v>
      </c>
      <c r="D563" s="12">
        <v>1293</v>
      </c>
      <c r="E563" s="13">
        <v>15</v>
      </c>
      <c r="F563" s="12">
        <f t="shared" si="16"/>
        <v>19395</v>
      </c>
      <c r="G563" s="12">
        <v>38745</v>
      </c>
      <c r="H563" s="12">
        <f t="shared" si="17"/>
        <v>-19350</v>
      </c>
      <c r="I563" s="11">
        <v>45108</v>
      </c>
      <c r="J563" s="10" t="s">
        <v>20</v>
      </c>
      <c r="K563" s="9">
        <v>2023</v>
      </c>
    </row>
    <row r="564" spans="1:11" x14ac:dyDescent="0.35">
      <c r="A564" s="14" t="s">
        <v>7</v>
      </c>
      <c r="B564" s="10" t="s">
        <v>6</v>
      </c>
      <c r="C564" s="10" t="s">
        <v>1</v>
      </c>
      <c r="D564" s="12">
        <v>1293</v>
      </c>
      <c r="E564" s="13">
        <v>350</v>
      </c>
      <c r="F564" s="12">
        <f t="shared" si="16"/>
        <v>452550</v>
      </c>
      <c r="G564" s="12">
        <v>161980</v>
      </c>
      <c r="H564" s="12">
        <f t="shared" si="17"/>
        <v>290570</v>
      </c>
      <c r="I564" s="11">
        <v>44805</v>
      </c>
      <c r="J564" s="10" t="s">
        <v>22</v>
      </c>
      <c r="K564" s="9">
        <v>2022</v>
      </c>
    </row>
    <row r="565" spans="1:11" x14ac:dyDescent="0.35">
      <c r="A565" s="14" t="s">
        <v>3</v>
      </c>
      <c r="B565" s="10" t="s">
        <v>2</v>
      </c>
      <c r="C565" s="10" t="s">
        <v>1</v>
      </c>
      <c r="D565" s="12">
        <v>230</v>
      </c>
      <c r="E565" s="13">
        <v>350</v>
      </c>
      <c r="F565" s="12">
        <f t="shared" si="16"/>
        <v>80500</v>
      </c>
      <c r="G565" s="12">
        <v>256360</v>
      </c>
      <c r="H565" s="12">
        <f t="shared" si="17"/>
        <v>-175860</v>
      </c>
      <c r="I565" s="11">
        <v>45200</v>
      </c>
      <c r="J565" s="10" t="s">
        <v>12</v>
      </c>
      <c r="K565" s="9">
        <v>2023</v>
      </c>
    </row>
    <row r="566" spans="1:11" x14ac:dyDescent="0.35">
      <c r="A566" s="14" t="s">
        <v>3</v>
      </c>
      <c r="B566" s="10" t="s">
        <v>2</v>
      </c>
      <c r="C566" s="10" t="s">
        <v>1</v>
      </c>
      <c r="D566" s="12">
        <v>1723</v>
      </c>
      <c r="E566" s="13">
        <v>125</v>
      </c>
      <c r="F566" s="12">
        <f t="shared" si="16"/>
        <v>215375</v>
      </c>
      <c r="G566" s="12">
        <v>286440</v>
      </c>
      <c r="H566" s="12">
        <f t="shared" si="17"/>
        <v>-71065</v>
      </c>
      <c r="I566" s="11">
        <v>45231</v>
      </c>
      <c r="J566" s="10" t="s">
        <v>18</v>
      </c>
      <c r="K566" s="9">
        <v>2023</v>
      </c>
    </row>
    <row r="567" spans="1:11" x14ac:dyDescent="0.35">
      <c r="A567" s="14" t="s">
        <v>11</v>
      </c>
      <c r="B567" s="10" t="s">
        <v>10</v>
      </c>
      <c r="C567" s="10" t="s">
        <v>1</v>
      </c>
      <c r="D567" s="12">
        <v>240</v>
      </c>
      <c r="E567" s="13">
        <v>20</v>
      </c>
      <c r="F567" s="12">
        <f t="shared" si="16"/>
        <v>4800</v>
      </c>
      <c r="G567" s="12">
        <v>12330</v>
      </c>
      <c r="H567" s="12">
        <f t="shared" si="17"/>
        <v>-7530</v>
      </c>
      <c r="I567" s="11">
        <v>45261</v>
      </c>
      <c r="J567" s="10" t="s">
        <v>17</v>
      </c>
      <c r="K567" s="9">
        <v>2023</v>
      </c>
    </row>
    <row r="568" spans="1:11" x14ac:dyDescent="0.35">
      <c r="A568" s="14" t="s">
        <v>3</v>
      </c>
      <c r="B568" s="10" t="s">
        <v>2</v>
      </c>
      <c r="C568" s="10" t="s">
        <v>13</v>
      </c>
      <c r="D568" s="12">
        <v>2571</v>
      </c>
      <c r="E568" s="13">
        <v>350</v>
      </c>
      <c r="F568" s="12">
        <f t="shared" si="16"/>
        <v>899850</v>
      </c>
      <c r="G568" s="12">
        <v>70200</v>
      </c>
      <c r="H568" s="12">
        <f t="shared" si="17"/>
        <v>829650</v>
      </c>
      <c r="I568" s="11">
        <v>44958</v>
      </c>
      <c r="J568" s="10" t="s">
        <v>8</v>
      </c>
      <c r="K568" s="9">
        <v>2023</v>
      </c>
    </row>
    <row r="569" spans="1:11" x14ac:dyDescent="0.35">
      <c r="A569" s="14" t="s">
        <v>16</v>
      </c>
      <c r="B569" s="10" t="s">
        <v>15</v>
      </c>
      <c r="C569" s="10" t="s">
        <v>13</v>
      </c>
      <c r="D569" s="12">
        <v>1661</v>
      </c>
      <c r="E569" s="13">
        <v>7</v>
      </c>
      <c r="F569" s="12">
        <f t="shared" si="16"/>
        <v>11627</v>
      </c>
      <c r="G569" s="12">
        <v>17107.5</v>
      </c>
      <c r="H569" s="12">
        <f t="shared" si="17"/>
        <v>-5480.5</v>
      </c>
      <c r="I569" s="11">
        <v>45108</v>
      </c>
      <c r="J569" s="10" t="s">
        <v>20</v>
      </c>
      <c r="K569" s="9">
        <v>2023</v>
      </c>
    </row>
    <row r="570" spans="1:11" x14ac:dyDescent="0.35">
      <c r="A570" s="14" t="s">
        <v>7</v>
      </c>
      <c r="B570" s="10" t="s">
        <v>6</v>
      </c>
      <c r="C570" s="10" t="s">
        <v>13</v>
      </c>
      <c r="D570" s="12">
        <v>4474</v>
      </c>
      <c r="E570" s="13">
        <v>7</v>
      </c>
      <c r="F570" s="12">
        <f t="shared" si="16"/>
        <v>31318</v>
      </c>
      <c r="G570" s="12">
        <v>13670</v>
      </c>
      <c r="H570" s="12">
        <f t="shared" si="17"/>
        <v>17648</v>
      </c>
      <c r="I570" s="11">
        <v>45200</v>
      </c>
      <c r="J570" s="10" t="s">
        <v>12</v>
      </c>
      <c r="K570" s="9">
        <v>2023</v>
      </c>
    </row>
    <row r="571" spans="1:11" x14ac:dyDescent="0.35">
      <c r="A571" s="14" t="s">
        <v>3</v>
      </c>
      <c r="B571" s="10" t="s">
        <v>2</v>
      </c>
      <c r="C571" s="10" t="s">
        <v>13</v>
      </c>
      <c r="D571" s="12">
        <v>833</v>
      </c>
      <c r="E571" s="13">
        <v>15</v>
      </c>
      <c r="F571" s="12">
        <f t="shared" si="16"/>
        <v>12495</v>
      </c>
      <c r="G571" s="12">
        <v>25480</v>
      </c>
      <c r="H571" s="12">
        <f t="shared" si="17"/>
        <v>-12985</v>
      </c>
      <c r="I571" s="11">
        <v>44866</v>
      </c>
      <c r="J571" s="10" t="s">
        <v>18</v>
      </c>
      <c r="K571" s="9">
        <v>2022</v>
      </c>
    </row>
    <row r="572" spans="1:11" x14ac:dyDescent="0.35">
      <c r="A572" s="14" t="s">
        <v>16</v>
      </c>
      <c r="B572" s="10" t="s">
        <v>15</v>
      </c>
      <c r="C572" s="10" t="s">
        <v>24</v>
      </c>
      <c r="D572" s="12">
        <v>674</v>
      </c>
      <c r="E572" s="13">
        <v>20</v>
      </c>
      <c r="F572" s="12">
        <f t="shared" si="16"/>
        <v>13480</v>
      </c>
      <c r="G572" s="12">
        <v>25215</v>
      </c>
      <c r="H572" s="12">
        <f t="shared" si="17"/>
        <v>-11735</v>
      </c>
      <c r="I572" s="11">
        <v>44927</v>
      </c>
      <c r="J572" s="10" t="s">
        <v>25</v>
      </c>
      <c r="K572" s="9">
        <v>2023</v>
      </c>
    </row>
    <row r="573" spans="1:11" x14ac:dyDescent="0.35">
      <c r="A573" s="14" t="s">
        <v>11</v>
      </c>
      <c r="B573" s="10" t="s">
        <v>10</v>
      </c>
      <c r="C573" s="10" t="s">
        <v>9</v>
      </c>
      <c r="D573" s="12">
        <v>778</v>
      </c>
      <c r="E573" s="13">
        <v>12</v>
      </c>
      <c r="F573" s="12">
        <f t="shared" si="16"/>
        <v>9336</v>
      </c>
      <c r="G573" s="12">
        <v>7983</v>
      </c>
      <c r="H573" s="12">
        <f t="shared" si="17"/>
        <v>1353</v>
      </c>
      <c r="I573" s="11">
        <v>45047</v>
      </c>
      <c r="J573" s="10" t="s">
        <v>0</v>
      </c>
      <c r="K573" s="9">
        <v>2023</v>
      </c>
    </row>
    <row r="574" spans="1:11" x14ac:dyDescent="0.35">
      <c r="A574" s="14" t="s">
        <v>19</v>
      </c>
      <c r="B574" s="10" t="s">
        <v>6</v>
      </c>
      <c r="C574" s="10" t="s">
        <v>5</v>
      </c>
      <c r="D574" s="12">
        <v>1457</v>
      </c>
      <c r="E574" s="13">
        <v>20</v>
      </c>
      <c r="F574" s="12">
        <f t="shared" si="16"/>
        <v>29140</v>
      </c>
      <c r="G574" s="12">
        <v>15310</v>
      </c>
      <c r="H574" s="12">
        <f t="shared" si="17"/>
        <v>13830</v>
      </c>
      <c r="I574" s="11">
        <v>45261</v>
      </c>
      <c r="J574" s="10" t="s">
        <v>17</v>
      </c>
      <c r="K574" s="9">
        <v>2023</v>
      </c>
    </row>
    <row r="575" spans="1:11" x14ac:dyDescent="0.35">
      <c r="A575" s="14" t="s">
        <v>16</v>
      </c>
      <c r="B575" s="10" t="s">
        <v>15</v>
      </c>
      <c r="C575" s="10" t="s">
        <v>1</v>
      </c>
      <c r="D575" s="12">
        <v>3158</v>
      </c>
      <c r="E575" s="13">
        <v>7</v>
      </c>
      <c r="F575" s="12">
        <f t="shared" si="16"/>
        <v>22106</v>
      </c>
      <c r="G575" s="12">
        <v>7455</v>
      </c>
      <c r="H575" s="12">
        <f t="shared" si="17"/>
        <v>14651</v>
      </c>
      <c r="I575" s="11">
        <v>44986</v>
      </c>
      <c r="J575" s="10" t="s">
        <v>14</v>
      </c>
      <c r="K575" s="9">
        <v>2023</v>
      </c>
    </row>
    <row r="576" spans="1:11" x14ac:dyDescent="0.35">
      <c r="A576" s="14" t="s">
        <v>19</v>
      </c>
      <c r="B576" s="10" t="s">
        <v>6</v>
      </c>
      <c r="C576" s="10" t="s">
        <v>1</v>
      </c>
      <c r="D576" s="12">
        <v>4095</v>
      </c>
      <c r="E576" s="13">
        <v>20</v>
      </c>
      <c r="F576" s="12">
        <f t="shared" si="16"/>
        <v>81900</v>
      </c>
      <c r="G576" s="12">
        <v>15310</v>
      </c>
      <c r="H576" s="12">
        <f t="shared" si="17"/>
        <v>66590</v>
      </c>
      <c r="I576" s="11">
        <v>45261</v>
      </c>
      <c r="J576" s="10" t="s">
        <v>17</v>
      </c>
      <c r="K576" s="9">
        <v>2023</v>
      </c>
    </row>
    <row r="577" spans="1:11" x14ac:dyDescent="0.35">
      <c r="A577" s="14" t="s">
        <v>7</v>
      </c>
      <c r="B577" s="10" t="s">
        <v>6</v>
      </c>
      <c r="C577" s="10" t="s">
        <v>13</v>
      </c>
      <c r="D577" s="12">
        <v>3170</v>
      </c>
      <c r="E577" s="13">
        <v>12</v>
      </c>
      <c r="F577" s="12">
        <f t="shared" si="16"/>
        <v>38040</v>
      </c>
      <c r="G577" s="12">
        <v>8283</v>
      </c>
      <c r="H577" s="12">
        <f t="shared" si="17"/>
        <v>29757</v>
      </c>
      <c r="I577" s="11">
        <v>44805</v>
      </c>
      <c r="J577" s="10" t="s">
        <v>22</v>
      </c>
      <c r="K577" s="9">
        <v>2022</v>
      </c>
    </row>
    <row r="578" spans="1:11" x14ac:dyDescent="0.35">
      <c r="A578" s="14" t="s">
        <v>3</v>
      </c>
      <c r="B578" s="10" t="s">
        <v>2</v>
      </c>
      <c r="C578" s="10" t="s">
        <v>24</v>
      </c>
      <c r="D578" s="12">
        <v>493</v>
      </c>
      <c r="E578" s="13">
        <v>15</v>
      </c>
      <c r="F578" s="12">
        <f t="shared" ref="F578:F641" si="18">SUM(D578*E578)</f>
        <v>7395</v>
      </c>
      <c r="G578" s="12">
        <v>25670</v>
      </c>
      <c r="H578" s="12">
        <f t="shared" ref="H578:H641" si="19">F578-G578</f>
        <v>-18275</v>
      </c>
      <c r="I578" s="11">
        <v>45078</v>
      </c>
      <c r="J578" s="10" t="s">
        <v>26</v>
      </c>
      <c r="K578" s="9">
        <v>2023</v>
      </c>
    </row>
    <row r="579" spans="1:11" x14ac:dyDescent="0.35">
      <c r="A579" s="14" t="s">
        <v>3</v>
      </c>
      <c r="B579" s="10" t="s">
        <v>2</v>
      </c>
      <c r="C579" s="10" t="s">
        <v>1</v>
      </c>
      <c r="D579" s="12">
        <v>3286</v>
      </c>
      <c r="E579" s="13">
        <v>15</v>
      </c>
      <c r="F579" s="12">
        <f t="shared" si="18"/>
        <v>49290</v>
      </c>
      <c r="G579" s="12">
        <v>25670</v>
      </c>
      <c r="H579" s="12">
        <f t="shared" si="19"/>
        <v>23620</v>
      </c>
      <c r="I579" s="11">
        <v>45078</v>
      </c>
      <c r="J579" s="10" t="s">
        <v>26</v>
      </c>
      <c r="K579" s="9">
        <v>2023</v>
      </c>
    </row>
    <row r="580" spans="1:11" x14ac:dyDescent="0.35">
      <c r="A580" s="14" t="s">
        <v>7</v>
      </c>
      <c r="B580" s="10" t="s">
        <v>6</v>
      </c>
      <c r="C580" s="10" t="s">
        <v>24</v>
      </c>
      <c r="D580" s="12">
        <v>3563</v>
      </c>
      <c r="E580" s="13">
        <v>350</v>
      </c>
      <c r="F580" s="12">
        <f t="shared" si="18"/>
        <v>1247050</v>
      </c>
      <c r="G580" s="12">
        <v>239980</v>
      </c>
      <c r="H580" s="12">
        <f t="shared" si="19"/>
        <v>1007070</v>
      </c>
      <c r="I580" s="11">
        <v>44986</v>
      </c>
      <c r="J580" s="10" t="s">
        <v>14</v>
      </c>
      <c r="K580" s="9">
        <v>2023</v>
      </c>
    </row>
    <row r="581" spans="1:11" x14ac:dyDescent="0.35">
      <c r="A581" s="14" t="s">
        <v>16</v>
      </c>
      <c r="B581" s="10" t="s">
        <v>15</v>
      </c>
      <c r="C581" s="10" t="s">
        <v>24</v>
      </c>
      <c r="D581" s="12">
        <v>4109</v>
      </c>
      <c r="E581" s="13">
        <v>350</v>
      </c>
      <c r="F581" s="12">
        <f t="shared" si="18"/>
        <v>1438150</v>
      </c>
      <c r="G581" s="12">
        <v>465400</v>
      </c>
      <c r="H581" s="12">
        <f t="shared" si="19"/>
        <v>972750</v>
      </c>
      <c r="I581" s="11">
        <v>44986</v>
      </c>
      <c r="J581" s="10" t="s">
        <v>14</v>
      </c>
      <c r="K581" s="9">
        <v>2023</v>
      </c>
    </row>
    <row r="582" spans="1:11" x14ac:dyDescent="0.35">
      <c r="A582" s="14" t="s">
        <v>19</v>
      </c>
      <c r="B582" s="10" t="s">
        <v>6</v>
      </c>
      <c r="C582" s="10" t="s">
        <v>24</v>
      </c>
      <c r="D582" s="12">
        <v>3653</v>
      </c>
      <c r="E582" s="13">
        <v>20</v>
      </c>
      <c r="F582" s="12">
        <f t="shared" si="18"/>
        <v>73060</v>
      </c>
      <c r="G582" s="12">
        <v>4420</v>
      </c>
      <c r="H582" s="12">
        <f t="shared" si="19"/>
        <v>68640</v>
      </c>
      <c r="I582" s="11">
        <v>44805</v>
      </c>
      <c r="J582" s="10" t="s">
        <v>22</v>
      </c>
      <c r="K582" s="9">
        <v>2022</v>
      </c>
    </row>
    <row r="583" spans="1:11" x14ac:dyDescent="0.35">
      <c r="A583" s="14" t="s">
        <v>3</v>
      </c>
      <c r="B583" s="10" t="s">
        <v>2</v>
      </c>
      <c r="C583" s="10" t="s">
        <v>9</v>
      </c>
      <c r="D583" s="12">
        <v>2203</v>
      </c>
      <c r="E583" s="13">
        <v>350</v>
      </c>
      <c r="F583" s="12">
        <f t="shared" si="18"/>
        <v>771050</v>
      </c>
      <c r="G583" s="12">
        <v>255450</v>
      </c>
      <c r="H583" s="12">
        <f t="shared" si="19"/>
        <v>515600</v>
      </c>
      <c r="I583" s="11">
        <v>44927</v>
      </c>
      <c r="J583" s="10" t="s">
        <v>25</v>
      </c>
      <c r="K583" s="9">
        <v>2023</v>
      </c>
    </row>
    <row r="584" spans="1:11" x14ac:dyDescent="0.35">
      <c r="A584" s="14" t="s">
        <v>3</v>
      </c>
      <c r="B584" s="10" t="s">
        <v>2</v>
      </c>
      <c r="C584" s="10" t="s">
        <v>9</v>
      </c>
      <c r="D584" s="12">
        <v>2924</v>
      </c>
      <c r="E584" s="13">
        <v>7</v>
      </c>
      <c r="F584" s="12">
        <f t="shared" si="18"/>
        <v>20468</v>
      </c>
      <c r="G584" s="12">
        <v>6490</v>
      </c>
      <c r="H584" s="12">
        <f t="shared" si="19"/>
        <v>13978</v>
      </c>
      <c r="I584" s="11">
        <v>44958</v>
      </c>
      <c r="J584" s="10" t="s">
        <v>8</v>
      </c>
      <c r="K584" s="9">
        <v>2023</v>
      </c>
    </row>
    <row r="585" spans="1:11" x14ac:dyDescent="0.35">
      <c r="A585" s="14" t="s">
        <v>11</v>
      </c>
      <c r="B585" s="10" t="s">
        <v>10</v>
      </c>
      <c r="C585" s="10" t="s">
        <v>9</v>
      </c>
      <c r="D585" s="12">
        <v>2650</v>
      </c>
      <c r="E585" s="13">
        <v>12</v>
      </c>
      <c r="F585" s="12">
        <f t="shared" si="18"/>
        <v>31800</v>
      </c>
      <c r="G585" s="12">
        <v>1812</v>
      </c>
      <c r="H585" s="12">
        <f t="shared" si="19"/>
        <v>29988</v>
      </c>
      <c r="I585" s="11">
        <v>45078</v>
      </c>
      <c r="J585" s="10" t="s">
        <v>26</v>
      </c>
      <c r="K585" s="9">
        <v>2023</v>
      </c>
    </row>
    <row r="586" spans="1:11" x14ac:dyDescent="0.35">
      <c r="A586" s="14" t="s">
        <v>11</v>
      </c>
      <c r="B586" s="10" t="s">
        <v>10</v>
      </c>
      <c r="C586" s="10" t="s">
        <v>9</v>
      </c>
      <c r="D586" s="12">
        <v>1194</v>
      </c>
      <c r="E586" s="13">
        <v>20</v>
      </c>
      <c r="F586" s="12">
        <f t="shared" si="18"/>
        <v>23880</v>
      </c>
      <c r="G586" s="12">
        <v>22550</v>
      </c>
      <c r="H586" s="12">
        <f t="shared" si="19"/>
        <v>1330</v>
      </c>
      <c r="I586" s="11">
        <v>45108</v>
      </c>
      <c r="J586" s="10" t="s">
        <v>20</v>
      </c>
      <c r="K586" s="9">
        <v>2023</v>
      </c>
    </row>
    <row r="587" spans="1:11" x14ac:dyDescent="0.35">
      <c r="A587" s="14" t="s">
        <v>7</v>
      </c>
      <c r="B587" s="10" t="s">
        <v>6</v>
      </c>
      <c r="C587" s="10" t="s">
        <v>9</v>
      </c>
      <c r="D587" s="12">
        <v>3366</v>
      </c>
      <c r="E587" s="13">
        <v>20</v>
      </c>
      <c r="F587" s="12">
        <f t="shared" si="18"/>
        <v>67320</v>
      </c>
      <c r="G587" s="12">
        <v>12490</v>
      </c>
      <c r="H587" s="12">
        <f t="shared" si="19"/>
        <v>54830</v>
      </c>
      <c r="I587" s="11">
        <v>45200</v>
      </c>
      <c r="J587" s="10" t="s">
        <v>12</v>
      </c>
      <c r="K587" s="9">
        <v>2023</v>
      </c>
    </row>
    <row r="588" spans="1:11" x14ac:dyDescent="0.35">
      <c r="A588" s="14" t="s">
        <v>3</v>
      </c>
      <c r="B588" s="10" t="s">
        <v>2</v>
      </c>
      <c r="C588" s="10" t="s">
        <v>5</v>
      </c>
      <c r="D588" s="12">
        <v>1325</v>
      </c>
      <c r="E588" s="13">
        <v>7</v>
      </c>
      <c r="F588" s="12">
        <f t="shared" si="18"/>
        <v>9275</v>
      </c>
      <c r="G588" s="12">
        <v>7192.5</v>
      </c>
      <c r="H588" s="12">
        <f t="shared" si="19"/>
        <v>2082.5</v>
      </c>
      <c r="I588" s="11">
        <v>44927</v>
      </c>
      <c r="J588" s="10" t="s">
        <v>25</v>
      </c>
      <c r="K588" s="9">
        <v>2023</v>
      </c>
    </row>
    <row r="589" spans="1:11" x14ac:dyDescent="0.35">
      <c r="A589" s="14" t="s">
        <v>19</v>
      </c>
      <c r="B589" s="10" t="s">
        <v>6</v>
      </c>
      <c r="C589" s="10" t="s">
        <v>5</v>
      </c>
      <c r="D589" s="12">
        <v>4243</v>
      </c>
      <c r="E589" s="13">
        <v>300</v>
      </c>
      <c r="F589" s="12">
        <f t="shared" si="18"/>
        <v>1272900</v>
      </c>
      <c r="G589" s="12">
        <v>201750</v>
      </c>
      <c r="H589" s="12">
        <f t="shared" si="19"/>
        <v>1071150</v>
      </c>
      <c r="I589" s="11">
        <v>44927</v>
      </c>
      <c r="J589" s="10" t="s">
        <v>25</v>
      </c>
      <c r="K589" s="9">
        <v>2023</v>
      </c>
    </row>
    <row r="590" spans="1:11" x14ac:dyDescent="0.35">
      <c r="A590" s="14" t="s">
        <v>3</v>
      </c>
      <c r="B590" s="10" t="s">
        <v>2</v>
      </c>
      <c r="C590" s="10" t="s">
        <v>5</v>
      </c>
      <c r="D590" s="12">
        <v>2887</v>
      </c>
      <c r="E590" s="13">
        <v>20</v>
      </c>
      <c r="F590" s="12">
        <f t="shared" si="18"/>
        <v>57740</v>
      </c>
      <c r="G590" s="12">
        <v>26410</v>
      </c>
      <c r="H590" s="12">
        <f t="shared" si="19"/>
        <v>31330</v>
      </c>
      <c r="I590" s="11">
        <v>44958</v>
      </c>
      <c r="J590" s="10" t="s">
        <v>8</v>
      </c>
      <c r="K590" s="9">
        <v>2023</v>
      </c>
    </row>
    <row r="591" spans="1:11" x14ac:dyDescent="0.35">
      <c r="A591" s="14" t="s">
        <v>19</v>
      </c>
      <c r="B591" s="10" t="s">
        <v>6</v>
      </c>
      <c r="C591" s="10" t="s">
        <v>5</v>
      </c>
      <c r="D591" s="12">
        <v>3839</v>
      </c>
      <c r="E591" s="13">
        <v>20</v>
      </c>
      <c r="F591" s="12">
        <f t="shared" si="18"/>
        <v>76780</v>
      </c>
      <c r="G591" s="12">
        <v>27080</v>
      </c>
      <c r="H591" s="12">
        <f t="shared" si="19"/>
        <v>49700</v>
      </c>
      <c r="I591" s="11">
        <v>44958</v>
      </c>
      <c r="J591" s="10" t="s">
        <v>8</v>
      </c>
      <c r="K591" s="9">
        <v>2023</v>
      </c>
    </row>
    <row r="592" spans="1:11" x14ac:dyDescent="0.35">
      <c r="A592" s="14" t="s">
        <v>7</v>
      </c>
      <c r="B592" s="10" t="s">
        <v>6</v>
      </c>
      <c r="C592" s="10" t="s">
        <v>5</v>
      </c>
      <c r="D592" s="12">
        <v>1863</v>
      </c>
      <c r="E592" s="13">
        <v>350</v>
      </c>
      <c r="F592" s="12">
        <f t="shared" si="18"/>
        <v>652050</v>
      </c>
      <c r="G592" s="12">
        <v>684320</v>
      </c>
      <c r="H592" s="12">
        <f t="shared" si="19"/>
        <v>-32270</v>
      </c>
      <c r="I592" s="11">
        <v>45078</v>
      </c>
      <c r="J592" s="10" t="s">
        <v>26</v>
      </c>
      <c r="K592" s="9">
        <v>2023</v>
      </c>
    </row>
    <row r="593" spans="1:11" x14ac:dyDescent="0.35">
      <c r="A593" s="14" t="s">
        <v>7</v>
      </c>
      <c r="B593" s="10" t="s">
        <v>6</v>
      </c>
      <c r="C593" s="10" t="s">
        <v>5</v>
      </c>
      <c r="D593" s="12">
        <v>2858</v>
      </c>
      <c r="E593" s="13">
        <v>125</v>
      </c>
      <c r="F593" s="12">
        <f t="shared" si="18"/>
        <v>357250</v>
      </c>
      <c r="G593" s="12">
        <v>189960</v>
      </c>
      <c r="H593" s="12">
        <f t="shared" si="19"/>
        <v>167290</v>
      </c>
      <c r="I593" s="11">
        <v>45078</v>
      </c>
      <c r="J593" s="10" t="s">
        <v>26</v>
      </c>
      <c r="K593" s="9">
        <v>2023</v>
      </c>
    </row>
    <row r="594" spans="1:11" x14ac:dyDescent="0.35">
      <c r="A594" s="14" t="s">
        <v>11</v>
      </c>
      <c r="B594" s="10" t="s">
        <v>10</v>
      </c>
      <c r="C594" s="10" t="s">
        <v>5</v>
      </c>
      <c r="D594" s="12">
        <v>2868</v>
      </c>
      <c r="E594" s="13">
        <v>12</v>
      </c>
      <c r="F594" s="12">
        <f t="shared" si="18"/>
        <v>34416</v>
      </c>
      <c r="G594" s="12">
        <v>1713</v>
      </c>
      <c r="H594" s="12">
        <f t="shared" si="19"/>
        <v>32703</v>
      </c>
      <c r="I594" s="11">
        <v>45108</v>
      </c>
      <c r="J594" s="10" t="s">
        <v>20</v>
      </c>
      <c r="K594" s="9">
        <v>2023</v>
      </c>
    </row>
    <row r="595" spans="1:11" x14ac:dyDescent="0.35">
      <c r="A595" s="14" t="s">
        <v>16</v>
      </c>
      <c r="B595" s="10" t="s">
        <v>15</v>
      </c>
      <c r="C595" s="10" t="s">
        <v>5</v>
      </c>
      <c r="D595" s="12">
        <v>3805</v>
      </c>
      <c r="E595" s="13">
        <v>7</v>
      </c>
      <c r="F595" s="12">
        <f t="shared" si="18"/>
        <v>26635</v>
      </c>
      <c r="G595" s="12">
        <v>13480</v>
      </c>
      <c r="H595" s="12">
        <f t="shared" si="19"/>
        <v>13155</v>
      </c>
      <c r="I595" s="11">
        <v>45139</v>
      </c>
      <c r="J595" s="10" t="s">
        <v>23</v>
      </c>
      <c r="K595" s="9">
        <v>2023</v>
      </c>
    </row>
    <row r="596" spans="1:11" x14ac:dyDescent="0.35">
      <c r="A596" s="14" t="s">
        <v>7</v>
      </c>
      <c r="B596" s="10" t="s">
        <v>6</v>
      </c>
      <c r="C596" s="10" t="s">
        <v>5</v>
      </c>
      <c r="D596" s="12">
        <v>3914</v>
      </c>
      <c r="E596" s="13">
        <v>15</v>
      </c>
      <c r="F596" s="12">
        <f t="shared" si="18"/>
        <v>58710</v>
      </c>
      <c r="G596" s="12">
        <v>15650</v>
      </c>
      <c r="H596" s="12">
        <f t="shared" si="19"/>
        <v>43060</v>
      </c>
      <c r="I596" s="11">
        <v>45200</v>
      </c>
      <c r="J596" s="10" t="s">
        <v>12</v>
      </c>
      <c r="K596" s="9">
        <v>2023</v>
      </c>
    </row>
    <row r="597" spans="1:11" x14ac:dyDescent="0.35">
      <c r="A597" s="14" t="s">
        <v>7</v>
      </c>
      <c r="B597" s="10" t="s">
        <v>6</v>
      </c>
      <c r="C597" s="10" t="s">
        <v>5</v>
      </c>
      <c r="D597" s="12">
        <v>524</v>
      </c>
      <c r="E597" s="13">
        <v>20</v>
      </c>
      <c r="F597" s="12">
        <f t="shared" si="18"/>
        <v>10480</v>
      </c>
      <c r="G597" s="12">
        <v>12490</v>
      </c>
      <c r="H597" s="12">
        <f t="shared" si="19"/>
        <v>-2010</v>
      </c>
      <c r="I597" s="11">
        <v>45200</v>
      </c>
      <c r="J597" s="10" t="s">
        <v>12</v>
      </c>
      <c r="K597" s="9">
        <v>2023</v>
      </c>
    </row>
    <row r="598" spans="1:11" x14ac:dyDescent="0.35">
      <c r="A598" s="14" t="s">
        <v>19</v>
      </c>
      <c r="B598" s="10" t="s">
        <v>6</v>
      </c>
      <c r="C598" s="10" t="s">
        <v>5</v>
      </c>
      <c r="D598" s="12">
        <v>3095</v>
      </c>
      <c r="E598" s="13">
        <v>350</v>
      </c>
      <c r="F598" s="12">
        <f t="shared" si="18"/>
        <v>1083250</v>
      </c>
      <c r="G598" s="12">
        <v>92820</v>
      </c>
      <c r="H598" s="12">
        <f t="shared" si="19"/>
        <v>990430</v>
      </c>
      <c r="I598" s="11">
        <v>45231</v>
      </c>
      <c r="J598" s="10" t="s">
        <v>18</v>
      </c>
      <c r="K598" s="9">
        <v>2023</v>
      </c>
    </row>
    <row r="599" spans="1:11" x14ac:dyDescent="0.35">
      <c r="A599" s="14" t="s">
        <v>19</v>
      </c>
      <c r="B599" s="10" t="s">
        <v>6</v>
      </c>
      <c r="C599" s="10" t="s">
        <v>5</v>
      </c>
      <c r="D599" s="12">
        <v>2410</v>
      </c>
      <c r="E599" s="13">
        <v>12</v>
      </c>
      <c r="F599" s="12">
        <f t="shared" si="18"/>
        <v>28920</v>
      </c>
      <c r="G599" s="12">
        <v>3039</v>
      </c>
      <c r="H599" s="12">
        <f t="shared" si="19"/>
        <v>25881</v>
      </c>
      <c r="I599" s="11">
        <v>45261</v>
      </c>
      <c r="J599" s="10" t="s">
        <v>17</v>
      </c>
      <c r="K599" s="9">
        <v>2023</v>
      </c>
    </row>
    <row r="600" spans="1:11" x14ac:dyDescent="0.35">
      <c r="A600" s="14" t="s">
        <v>16</v>
      </c>
      <c r="B600" s="10" t="s">
        <v>15</v>
      </c>
      <c r="C600" s="10" t="s">
        <v>21</v>
      </c>
      <c r="D600" s="12">
        <v>4263</v>
      </c>
      <c r="E600" s="13">
        <v>15</v>
      </c>
      <c r="F600" s="12">
        <f t="shared" si="18"/>
        <v>63945</v>
      </c>
      <c r="G600" s="12">
        <v>39975</v>
      </c>
      <c r="H600" s="12">
        <f t="shared" si="19"/>
        <v>23970</v>
      </c>
      <c r="I600" s="11">
        <v>44927</v>
      </c>
      <c r="J600" s="10" t="s">
        <v>25</v>
      </c>
      <c r="K600" s="9">
        <v>2023</v>
      </c>
    </row>
    <row r="601" spans="1:11" x14ac:dyDescent="0.35">
      <c r="A601" s="14" t="s">
        <v>7</v>
      </c>
      <c r="B601" s="10" t="s">
        <v>6</v>
      </c>
      <c r="C601" s="10" t="s">
        <v>21</v>
      </c>
      <c r="D601" s="12">
        <v>2239</v>
      </c>
      <c r="E601" s="13">
        <v>350</v>
      </c>
      <c r="F601" s="12">
        <f t="shared" si="18"/>
        <v>783650</v>
      </c>
      <c r="G601" s="12">
        <v>684320</v>
      </c>
      <c r="H601" s="12">
        <f t="shared" si="19"/>
        <v>99330</v>
      </c>
      <c r="I601" s="11">
        <v>45078</v>
      </c>
      <c r="J601" s="10" t="s">
        <v>26</v>
      </c>
      <c r="K601" s="9">
        <v>2023</v>
      </c>
    </row>
    <row r="602" spans="1:11" x14ac:dyDescent="0.35">
      <c r="A602" s="14" t="s">
        <v>16</v>
      </c>
      <c r="B602" s="10" t="s">
        <v>15</v>
      </c>
      <c r="C602" s="10" t="s">
        <v>21</v>
      </c>
      <c r="D602" s="12">
        <v>569</v>
      </c>
      <c r="E602" s="13">
        <v>7</v>
      </c>
      <c r="F602" s="12">
        <f t="shared" si="18"/>
        <v>3983</v>
      </c>
      <c r="G602" s="12">
        <v>5950</v>
      </c>
      <c r="H602" s="12">
        <f t="shared" si="19"/>
        <v>-1967</v>
      </c>
      <c r="I602" s="11">
        <v>45078</v>
      </c>
      <c r="J602" s="10" t="s">
        <v>26</v>
      </c>
      <c r="K602" s="9">
        <v>2023</v>
      </c>
    </row>
    <row r="603" spans="1:11" x14ac:dyDescent="0.35">
      <c r="A603" s="14" t="s">
        <v>11</v>
      </c>
      <c r="B603" s="10" t="s">
        <v>10</v>
      </c>
      <c r="C603" s="10" t="s">
        <v>21</v>
      </c>
      <c r="D603" s="12">
        <v>3889</v>
      </c>
      <c r="E603" s="13">
        <v>12</v>
      </c>
      <c r="F603" s="12">
        <f t="shared" si="18"/>
        <v>46668</v>
      </c>
      <c r="G603" s="12">
        <v>1812</v>
      </c>
      <c r="H603" s="12">
        <f t="shared" si="19"/>
        <v>44856</v>
      </c>
      <c r="I603" s="11">
        <v>45078</v>
      </c>
      <c r="J603" s="10" t="s">
        <v>26</v>
      </c>
      <c r="K603" s="9">
        <v>2023</v>
      </c>
    </row>
    <row r="604" spans="1:11" x14ac:dyDescent="0.35">
      <c r="A604" s="14" t="s">
        <v>19</v>
      </c>
      <c r="B604" s="10" t="s">
        <v>6</v>
      </c>
      <c r="C604" s="10" t="s">
        <v>21</v>
      </c>
      <c r="D604" s="12">
        <v>1378</v>
      </c>
      <c r="E604" s="13">
        <v>15</v>
      </c>
      <c r="F604" s="12">
        <f t="shared" si="18"/>
        <v>20670</v>
      </c>
      <c r="G604" s="12">
        <v>6600</v>
      </c>
      <c r="H604" s="12">
        <f t="shared" si="19"/>
        <v>14070</v>
      </c>
      <c r="I604" s="11">
        <v>44805</v>
      </c>
      <c r="J604" s="10" t="s">
        <v>22</v>
      </c>
      <c r="K604" s="9">
        <v>2022</v>
      </c>
    </row>
    <row r="605" spans="1:11" x14ac:dyDescent="0.35">
      <c r="A605" s="14" t="s">
        <v>11</v>
      </c>
      <c r="B605" s="10" t="s">
        <v>10</v>
      </c>
      <c r="C605" s="10" t="s">
        <v>21</v>
      </c>
      <c r="D605" s="12">
        <v>2253</v>
      </c>
      <c r="E605" s="13">
        <v>12</v>
      </c>
      <c r="F605" s="12">
        <f t="shared" si="18"/>
        <v>27036</v>
      </c>
      <c r="G605" s="12">
        <v>1230</v>
      </c>
      <c r="H605" s="12">
        <f t="shared" si="19"/>
        <v>25806</v>
      </c>
      <c r="I605" s="11">
        <v>45200</v>
      </c>
      <c r="J605" s="10" t="s">
        <v>12</v>
      </c>
      <c r="K605" s="9">
        <v>2023</v>
      </c>
    </row>
    <row r="606" spans="1:11" x14ac:dyDescent="0.35">
      <c r="A606" s="14" t="s">
        <v>11</v>
      </c>
      <c r="B606" s="10" t="s">
        <v>10</v>
      </c>
      <c r="C606" s="10" t="s">
        <v>21</v>
      </c>
      <c r="D606" s="12">
        <v>3202</v>
      </c>
      <c r="E606" s="13">
        <v>300</v>
      </c>
      <c r="F606" s="12">
        <f t="shared" si="18"/>
        <v>960600</v>
      </c>
      <c r="G606" s="12">
        <v>651250</v>
      </c>
      <c r="H606" s="12">
        <f t="shared" si="19"/>
        <v>309350</v>
      </c>
      <c r="I606" s="11">
        <v>44866</v>
      </c>
      <c r="J606" s="10" t="s">
        <v>18</v>
      </c>
      <c r="K606" s="9">
        <v>2022</v>
      </c>
    </row>
    <row r="607" spans="1:11" x14ac:dyDescent="0.35">
      <c r="A607" s="14" t="s">
        <v>19</v>
      </c>
      <c r="B607" s="10" t="s">
        <v>6</v>
      </c>
      <c r="C607" s="10" t="s">
        <v>21</v>
      </c>
      <c r="D607" s="12">
        <v>3835</v>
      </c>
      <c r="E607" s="13">
        <v>12</v>
      </c>
      <c r="F607" s="12">
        <f t="shared" si="18"/>
        <v>46020</v>
      </c>
      <c r="G607" s="12">
        <v>3039</v>
      </c>
      <c r="H607" s="12">
        <f t="shared" si="19"/>
        <v>42981</v>
      </c>
      <c r="I607" s="11">
        <v>45261</v>
      </c>
      <c r="J607" s="10" t="s">
        <v>17</v>
      </c>
      <c r="K607" s="9">
        <v>2023</v>
      </c>
    </row>
    <row r="608" spans="1:11" x14ac:dyDescent="0.35">
      <c r="A608" s="14" t="s">
        <v>7</v>
      </c>
      <c r="B608" s="10" t="s">
        <v>6</v>
      </c>
      <c r="C608" s="10" t="s">
        <v>1</v>
      </c>
      <c r="D608" s="12">
        <v>2487</v>
      </c>
      <c r="E608" s="13">
        <v>125</v>
      </c>
      <c r="F608" s="12">
        <f t="shared" si="18"/>
        <v>310875</v>
      </c>
      <c r="G608" s="12">
        <v>189960</v>
      </c>
      <c r="H608" s="12">
        <f t="shared" si="19"/>
        <v>120915</v>
      </c>
      <c r="I608" s="11">
        <v>45078</v>
      </c>
      <c r="J608" s="10" t="s">
        <v>26</v>
      </c>
      <c r="K608" s="9">
        <v>2023</v>
      </c>
    </row>
    <row r="609" spans="1:11" x14ac:dyDescent="0.35">
      <c r="A609" s="14" t="s">
        <v>7</v>
      </c>
      <c r="B609" s="10" t="s">
        <v>6</v>
      </c>
      <c r="C609" s="10" t="s">
        <v>1</v>
      </c>
      <c r="D609" s="12">
        <v>4428</v>
      </c>
      <c r="E609" s="13">
        <v>15</v>
      </c>
      <c r="F609" s="12">
        <f t="shared" si="18"/>
        <v>66420</v>
      </c>
      <c r="G609" s="12">
        <v>15650</v>
      </c>
      <c r="H609" s="12">
        <f t="shared" si="19"/>
        <v>50770</v>
      </c>
      <c r="I609" s="11">
        <v>45200</v>
      </c>
      <c r="J609" s="10" t="s">
        <v>12</v>
      </c>
      <c r="K609" s="9">
        <v>2023</v>
      </c>
    </row>
    <row r="610" spans="1:11" x14ac:dyDescent="0.35">
      <c r="A610" s="14" t="s">
        <v>7</v>
      </c>
      <c r="B610" s="10" t="s">
        <v>6</v>
      </c>
      <c r="C610" s="10" t="s">
        <v>13</v>
      </c>
      <c r="D610" s="12">
        <v>1200</v>
      </c>
      <c r="E610" s="13">
        <v>125</v>
      </c>
      <c r="F610" s="12">
        <f t="shared" si="18"/>
        <v>150000</v>
      </c>
      <c r="G610" s="12">
        <v>199080</v>
      </c>
      <c r="H610" s="12">
        <f t="shared" si="19"/>
        <v>-49080</v>
      </c>
      <c r="I610" s="11">
        <v>44927</v>
      </c>
      <c r="J610" s="10" t="s">
        <v>25</v>
      </c>
      <c r="K610" s="9">
        <v>2023</v>
      </c>
    </row>
    <row r="611" spans="1:11" x14ac:dyDescent="0.35">
      <c r="A611" s="14" t="s">
        <v>16</v>
      </c>
      <c r="B611" s="10" t="s">
        <v>15</v>
      </c>
      <c r="C611" s="10" t="s">
        <v>13</v>
      </c>
      <c r="D611" s="12">
        <v>2953</v>
      </c>
      <c r="E611" s="13">
        <v>7</v>
      </c>
      <c r="F611" s="12">
        <f t="shared" si="18"/>
        <v>20671</v>
      </c>
      <c r="G611" s="12">
        <v>5950</v>
      </c>
      <c r="H611" s="12">
        <f t="shared" si="19"/>
        <v>14721</v>
      </c>
      <c r="I611" s="11">
        <v>45078</v>
      </c>
      <c r="J611" s="10" t="s">
        <v>26</v>
      </c>
      <c r="K611" s="9">
        <v>2023</v>
      </c>
    </row>
    <row r="612" spans="1:11" x14ac:dyDescent="0.35">
      <c r="A612" s="14" t="s">
        <v>11</v>
      </c>
      <c r="B612" s="10" t="s">
        <v>10</v>
      </c>
      <c r="C612" s="10" t="s">
        <v>13</v>
      </c>
      <c r="D612" s="12">
        <v>1453</v>
      </c>
      <c r="E612" s="13">
        <v>12</v>
      </c>
      <c r="F612" s="12">
        <f t="shared" si="18"/>
        <v>17436</v>
      </c>
      <c r="G612" s="12">
        <v>1230</v>
      </c>
      <c r="H612" s="12">
        <f t="shared" si="19"/>
        <v>16206</v>
      </c>
      <c r="I612" s="11">
        <v>45200</v>
      </c>
      <c r="J612" s="10" t="s">
        <v>12</v>
      </c>
      <c r="K612" s="9">
        <v>2023</v>
      </c>
    </row>
    <row r="613" spans="1:11" x14ac:dyDescent="0.35">
      <c r="A613" s="14" t="s">
        <v>19</v>
      </c>
      <c r="B613" s="10" t="s">
        <v>6</v>
      </c>
      <c r="C613" s="10" t="s">
        <v>13</v>
      </c>
      <c r="D613" s="12">
        <v>865</v>
      </c>
      <c r="E613" s="13">
        <v>12</v>
      </c>
      <c r="F613" s="12">
        <f t="shared" si="18"/>
        <v>10380</v>
      </c>
      <c r="G613" s="12">
        <v>5310</v>
      </c>
      <c r="H613" s="12">
        <f t="shared" si="19"/>
        <v>5070</v>
      </c>
      <c r="I613" s="11">
        <v>44896</v>
      </c>
      <c r="J613" s="10" t="s">
        <v>17</v>
      </c>
      <c r="K613" s="9">
        <v>2022</v>
      </c>
    </row>
    <row r="614" spans="1:11" x14ac:dyDescent="0.35">
      <c r="A614" s="14" t="s">
        <v>11</v>
      </c>
      <c r="B614" s="10" t="s">
        <v>10</v>
      </c>
      <c r="C614" s="10" t="s">
        <v>24</v>
      </c>
      <c r="D614" s="12">
        <v>1072</v>
      </c>
      <c r="E614" s="13">
        <v>20</v>
      </c>
      <c r="F614" s="12">
        <f t="shared" si="18"/>
        <v>21440</v>
      </c>
      <c r="G614" s="12">
        <v>25790</v>
      </c>
      <c r="H614" s="12">
        <f t="shared" si="19"/>
        <v>-4350</v>
      </c>
      <c r="I614" s="11">
        <v>45017</v>
      </c>
      <c r="J614" s="10" t="s">
        <v>4</v>
      </c>
      <c r="K614" s="9">
        <v>2023</v>
      </c>
    </row>
    <row r="615" spans="1:11" x14ac:dyDescent="0.35">
      <c r="A615" s="14" t="s">
        <v>3</v>
      </c>
      <c r="B615" s="10" t="s">
        <v>2</v>
      </c>
      <c r="C615" s="10" t="s">
        <v>24</v>
      </c>
      <c r="D615" s="12">
        <v>1737</v>
      </c>
      <c r="E615" s="13">
        <v>20</v>
      </c>
      <c r="F615" s="12">
        <f t="shared" si="18"/>
        <v>34740</v>
      </c>
      <c r="G615" s="12">
        <v>17430</v>
      </c>
      <c r="H615" s="12">
        <f t="shared" si="19"/>
        <v>17310</v>
      </c>
      <c r="I615" s="11">
        <v>45047</v>
      </c>
      <c r="J615" s="10" t="s">
        <v>0</v>
      </c>
      <c r="K615" s="9">
        <v>2023</v>
      </c>
    </row>
    <row r="616" spans="1:11" x14ac:dyDescent="0.35">
      <c r="A616" s="14" t="s">
        <v>3</v>
      </c>
      <c r="B616" s="10" t="s">
        <v>2</v>
      </c>
      <c r="C616" s="10" t="s">
        <v>24</v>
      </c>
      <c r="D616" s="12">
        <v>1535</v>
      </c>
      <c r="E616" s="13">
        <v>7</v>
      </c>
      <c r="F616" s="12">
        <f t="shared" si="18"/>
        <v>10745</v>
      </c>
      <c r="G616" s="12">
        <v>14980</v>
      </c>
      <c r="H616" s="12">
        <f t="shared" si="19"/>
        <v>-4235</v>
      </c>
      <c r="I616" s="11">
        <v>44835</v>
      </c>
      <c r="J616" s="10" t="s">
        <v>12</v>
      </c>
      <c r="K616" s="9">
        <v>2022</v>
      </c>
    </row>
    <row r="617" spans="1:11" x14ac:dyDescent="0.35">
      <c r="A617" s="14" t="s">
        <v>19</v>
      </c>
      <c r="B617" s="10" t="s">
        <v>6</v>
      </c>
      <c r="C617" s="10" t="s">
        <v>24</v>
      </c>
      <c r="D617" s="12">
        <v>2532</v>
      </c>
      <c r="E617" s="13">
        <v>7</v>
      </c>
      <c r="F617" s="12">
        <f t="shared" si="18"/>
        <v>17724</v>
      </c>
      <c r="G617" s="12">
        <v>1400</v>
      </c>
      <c r="H617" s="12">
        <f t="shared" si="19"/>
        <v>16324</v>
      </c>
      <c r="I617" s="11">
        <v>45261</v>
      </c>
      <c r="J617" s="10" t="s">
        <v>17</v>
      </c>
      <c r="K617" s="9">
        <v>2023</v>
      </c>
    </row>
    <row r="618" spans="1:11" x14ac:dyDescent="0.35">
      <c r="A618" s="14" t="s">
        <v>16</v>
      </c>
      <c r="B618" s="10" t="s">
        <v>15</v>
      </c>
      <c r="C618" s="10" t="s">
        <v>9</v>
      </c>
      <c r="D618" s="12">
        <v>1765</v>
      </c>
      <c r="E618" s="13">
        <v>7</v>
      </c>
      <c r="F618" s="12">
        <f t="shared" si="18"/>
        <v>12355</v>
      </c>
      <c r="G618" s="12">
        <v>1465</v>
      </c>
      <c r="H618" s="12">
        <f t="shared" si="19"/>
        <v>10890</v>
      </c>
      <c r="I618" s="11">
        <v>44958</v>
      </c>
      <c r="J618" s="10" t="s">
        <v>8</v>
      </c>
      <c r="K618" s="9">
        <v>2023</v>
      </c>
    </row>
    <row r="619" spans="1:11" x14ac:dyDescent="0.35">
      <c r="A619" s="14" t="s">
        <v>3</v>
      </c>
      <c r="B619" s="10" t="s">
        <v>2</v>
      </c>
      <c r="C619" s="10" t="s">
        <v>9</v>
      </c>
      <c r="D619" s="12">
        <v>1567</v>
      </c>
      <c r="E619" s="13">
        <v>7</v>
      </c>
      <c r="F619" s="12">
        <f t="shared" si="18"/>
        <v>10969</v>
      </c>
      <c r="G619" s="12">
        <v>14980</v>
      </c>
      <c r="H619" s="12">
        <f t="shared" si="19"/>
        <v>-4011</v>
      </c>
      <c r="I619" s="11">
        <v>44835</v>
      </c>
      <c r="J619" s="10" t="s">
        <v>12</v>
      </c>
      <c r="K619" s="9">
        <v>2022</v>
      </c>
    </row>
    <row r="620" spans="1:11" x14ac:dyDescent="0.35">
      <c r="A620" s="14" t="s">
        <v>19</v>
      </c>
      <c r="B620" s="10" t="s">
        <v>6</v>
      </c>
      <c r="C620" s="10" t="s">
        <v>5</v>
      </c>
      <c r="D620" s="12">
        <v>2640</v>
      </c>
      <c r="E620" s="13">
        <v>15</v>
      </c>
      <c r="F620" s="12">
        <f t="shared" si="18"/>
        <v>39600</v>
      </c>
      <c r="G620" s="12">
        <v>2780</v>
      </c>
      <c r="H620" s="12">
        <f t="shared" si="19"/>
        <v>36820</v>
      </c>
      <c r="I620" s="11">
        <v>44958</v>
      </c>
      <c r="J620" s="10" t="s">
        <v>8</v>
      </c>
      <c r="K620" s="9">
        <v>2023</v>
      </c>
    </row>
    <row r="621" spans="1:11" x14ac:dyDescent="0.35">
      <c r="A621" s="14" t="s">
        <v>7</v>
      </c>
      <c r="B621" s="10" t="s">
        <v>6</v>
      </c>
      <c r="C621" s="10" t="s">
        <v>5</v>
      </c>
      <c r="D621" s="12">
        <v>3079</v>
      </c>
      <c r="E621" s="13">
        <v>20</v>
      </c>
      <c r="F621" s="12">
        <f t="shared" si="18"/>
        <v>61580</v>
      </c>
      <c r="G621" s="12">
        <v>24280</v>
      </c>
      <c r="H621" s="12">
        <f t="shared" si="19"/>
        <v>37300</v>
      </c>
      <c r="I621" s="11">
        <v>44986</v>
      </c>
      <c r="J621" s="10" t="s">
        <v>14</v>
      </c>
      <c r="K621" s="9">
        <v>2023</v>
      </c>
    </row>
    <row r="622" spans="1:11" x14ac:dyDescent="0.35">
      <c r="A622" s="14" t="s">
        <v>3</v>
      </c>
      <c r="B622" s="10" t="s">
        <v>2</v>
      </c>
      <c r="C622" s="10" t="s">
        <v>5</v>
      </c>
      <c r="D622" s="12">
        <v>4130</v>
      </c>
      <c r="E622" s="13">
        <v>15</v>
      </c>
      <c r="F622" s="12">
        <f t="shared" si="18"/>
        <v>61950</v>
      </c>
      <c r="G622" s="12">
        <v>17670</v>
      </c>
      <c r="H622" s="12">
        <f t="shared" si="19"/>
        <v>44280</v>
      </c>
      <c r="I622" s="11">
        <v>45170</v>
      </c>
      <c r="J622" s="10" t="s">
        <v>22</v>
      </c>
      <c r="K622" s="9">
        <v>2023</v>
      </c>
    </row>
    <row r="623" spans="1:11" x14ac:dyDescent="0.35">
      <c r="A623" s="14" t="s">
        <v>16</v>
      </c>
      <c r="B623" s="10" t="s">
        <v>15</v>
      </c>
      <c r="C623" s="10" t="s">
        <v>5</v>
      </c>
      <c r="D623" s="12">
        <v>2938</v>
      </c>
      <c r="E623" s="13">
        <v>12</v>
      </c>
      <c r="F623" s="12">
        <f t="shared" si="18"/>
        <v>35256</v>
      </c>
      <c r="G623" s="12">
        <v>4179</v>
      </c>
      <c r="H623" s="12">
        <f t="shared" si="19"/>
        <v>31077</v>
      </c>
      <c r="I623" s="11">
        <v>45200</v>
      </c>
      <c r="J623" s="10" t="s">
        <v>12</v>
      </c>
      <c r="K623" s="9">
        <v>2023</v>
      </c>
    </row>
    <row r="624" spans="1:11" x14ac:dyDescent="0.35">
      <c r="A624" s="14" t="s">
        <v>19</v>
      </c>
      <c r="B624" s="10" t="s">
        <v>6</v>
      </c>
      <c r="C624" s="10" t="s">
        <v>1</v>
      </c>
      <c r="D624" s="12">
        <v>3080</v>
      </c>
      <c r="E624" s="13">
        <v>7</v>
      </c>
      <c r="F624" s="12">
        <f t="shared" si="18"/>
        <v>21560</v>
      </c>
      <c r="G624" s="12">
        <v>1400</v>
      </c>
      <c r="H624" s="12">
        <f t="shared" si="19"/>
        <v>20160</v>
      </c>
      <c r="I624" s="11">
        <v>45261</v>
      </c>
      <c r="J624" s="10" t="s">
        <v>17</v>
      </c>
      <c r="K624" s="9">
        <v>2023</v>
      </c>
    </row>
    <row r="625" spans="1:11" x14ac:dyDescent="0.35">
      <c r="A625" s="14" t="s">
        <v>16</v>
      </c>
      <c r="B625" s="10" t="s">
        <v>15</v>
      </c>
      <c r="C625" s="10" t="s">
        <v>13</v>
      </c>
      <c r="D625" s="12">
        <v>1530</v>
      </c>
      <c r="E625" s="13">
        <v>12</v>
      </c>
      <c r="F625" s="12">
        <f t="shared" si="18"/>
        <v>18360</v>
      </c>
      <c r="G625" s="12">
        <v>4179</v>
      </c>
      <c r="H625" s="12">
        <f t="shared" si="19"/>
        <v>14181</v>
      </c>
      <c r="I625" s="11">
        <v>45200</v>
      </c>
      <c r="J625" s="10" t="s">
        <v>12</v>
      </c>
      <c r="K625" s="9">
        <v>2023</v>
      </c>
    </row>
    <row r="626" spans="1:11" x14ac:dyDescent="0.35">
      <c r="A626" s="14" t="s">
        <v>3</v>
      </c>
      <c r="B626" s="10" t="s">
        <v>2</v>
      </c>
      <c r="C626" s="10" t="s">
        <v>13</v>
      </c>
      <c r="D626" s="12">
        <v>3537</v>
      </c>
      <c r="E626" s="13">
        <v>12</v>
      </c>
      <c r="F626" s="12">
        <f t="shared" si="18"/>
        <v>42444</v>
      </c>
      <c r="G626" s="12">
        <v>6045</v>
      </c>
      <c r="H626" s="12">
        <f t="shared" si="19"/>
        <v>36399</v>
      </c>
      <c r="I626" s="11">
        <v>44896</v>
      </c>
      <c r="J626" s="10" t="s">
        <v>17</v>
      </c>
      <c r="K626" s="9">
        <v>2022</v>
      </c>
    </row>
    <row r="627" spans="1:11" x14ac:dyDescent="0.35">
      <c r="A627" s="14" t="s">
        <v>11</v>
      </c>
      <c r="B627" s="10" t="s">
        <v>10</v>
      </c>
      <c r="C627" s="10" t="s">
        <v>24</v>
      </c>
      <c r="D627" s="12">
        <v>2021</v>
      </c>
      <c r="E627" s="13">
        <v>300</v>
      </c>
      <c r="F627" s="12">
        <f t="shared" si="18"/>
        <v>606300</v>
      </c>
      <c r="G627" s="12">
        <v>200250</v>
      </c>
      <c r="H627" s="12">
        <f t="shared" si="19"/>
        <v>406050</v>
      </c>
      <c r="I627" s="11">
        <v>45108</v>
      </c>
      <c r="J627" s="10" t="s">
        <v>20</v>
      </c>
      <c r="K627" s="9">
        <v>2023</v>
      </c>
    </row>
    <row r="628" spans="1:11" x14ac:dyDescent="0.35">
      <c r="A628" s="14" t="s">
        <v>16</v>
      </c>
      <c r="B628" s="10" t="s">
        <v>15</v>
      </c>
      <c r="C628" s="10" t="s">
        <v>24</v>
      </c>
      <c r="D628" s="12">
        <v>1804</v>
      </c>
      <c r="E628" s="13">
        <v>125</v>
      </c>
      <c r="F628" s="12">
        <f t="shared" si="18"/>
        <v>225500</v>
      </c>
      <c r="G628" s="12">
        <v>122760</v>
      </c>
      <c r="H628" s="12">
        <f t="shared" si="19"/>
        <v>102740</v>
      </c>
      <c r="I628" s="11">
        <v>44805</v>
      </c>
      <c r="J628" s="10" t="s">
        <v>22</v>
      </c>
      <c r="K628" s="9">
        <v>2022</v>
      </c>
    </row>
    <row r="629" spans="1:11" x14ac:dyDescent="0.35">
      <c r="A629" s="14" t="s">
        <v>7</v>
      </c>
      <c r="B629" s="10" t="s">
        <v>6</v>
      </c>
      <c r="C629" s="10" t="s">
        <v>24</v>
      </c>
      <c r="D629" s="12">
        <v>1014</v>
      </c>
      <c r="E629" s="13">
        <v>300</v>
      </c>
      <c r="F629" s="12">
        <f t="shared" si="18"/>
        <v>304200</v>
      </c>
      <c r="G629" s="12">
        <v>374000</v>
      </c>
      <c r="H629" s="12">
        <f t="shared" si="19"/>
        <v>-69800</v>
      </c>
      <c r="I629" s="11">
        <v>45200</v>
      </c>
      <c r="J629" s="10" t="s">
        <v>12</v>
      </c>
      <c r="K629" s="9">
        <v>2023</v>
      </c>
    </row>
    <row r="630" spans="1:11" x14ac:dyDescent="0.35">
      <c r="A630" s="14" t="s">
        <v>3</v>
      </c>
      <c r="B630" s="10" t="s">
        <v>2</v>
      </c>
      <c r="C630" s="10" t="s">
        <v>24</v>
      </c>
      <c r="D630" s="12">
        <v>2913</v>
      </c>
      <c r="E630" s="13">
        <v>300</v>
      </c>
      <c r="F630" s="12">
        <f t="shared" si="18"/>
        <v>873900</v>
      </c>
      <c r="G630" s="12">
        <v>252500</v>
      </c>
      <c r="H630" s="12">
        <f t="shared" si="19"/>
        <v>621400</v>
      </c>
      <c r="I630" s="11">
        <v>45200</v>
      </c>
      <c r="J630" s="10" t="s">
        <v>12</v>
      </c>
      <c r="K630" s="9">
        <v>2023</v>
      </c>
    </row>
    <row r="631" spans="1:11" x14ac:dyDescent="0.35">
      <c r="A631" s="14" t="s">
        <v>19</v>
      </c>
      <c r="B631" s="10" t="s">
        <v>6</v>
      </c>
      <c r="C631" s="10" t="s">
        <v>24</v>
      </c>
      <c r="D631" s="12">
        <v>763</v>
      </c>
      <c r="E631" s="13">
        <v>15</v>
      </c>
      <c r="F631" s="12">
        <f t="shared" si="18"/>
        <v>11445</v>
      </c>
      <c r="G631" s="12">
        <v>15130</v>
      </c>
      <c r="H631" s="12">
        <f t="shared" si="19"/>
        <v>-3685</v>
      </c>
      <c r="I631" s="11">
        <v>45231</v>
      </c>
      <c r="J631" s="10" t="s">
        <v>18</v>
      </c>
      <c r="K631" s="9">
        <v>2023</v>
      </c>
    </row>
    <row r="632" spans="1:11" x14ac:dyDescent="0.35">
      <c r="A632" s="14" t="s">
        <v>7</v>
      </c>
      <c r="B632" s="10" t="s">
        <v>6</v>
      </c>
      <c r="C632" s="10" t="s">
        <v>24</v>
      </c>
      <c r="D632" s="12">
        <v>1425</v>
      </c>
      <c r="E632" s="13">
        <v>15</v>
      </c>
      <c r="F632" s="12">
        <f t="shared" si="18"/>
        <v>21375</v>
      </c>
      <c r="G632" s="12">
        <v>23000</v>
      </c>
      <c r="H632" s="12">
        <f t="shared" si="19"/>
        <v>-1625</v>
      </c>
      <c r="I632" s="11">
        <v>45261</v>
      </c>
      <c r="J632" s="10" t="s">
        <v>17</v>
      </c>
      <c r="K632" s="9">
        <v>2023</v>
      </c>
    </row>
    <row r="633" spans="1:11" x14ac:dyDescent="0.35">
      <c r="A633" s="14" t="s">
        <v>11</v>
      </c>
      <c r="B633" s="10" t="s">
        <v>10</v>
      </c>
      <c r="C633" s="10" t="s">
        <v>24</v>
      </c>
      <c r="D633" s="12">
        <v>4357</v>
      </c>
      <c r="E633" s="13">
        <v>125</v>
      </c>
      <c r="F633" s="12">
        <f t="shared" si="18"/>
        <v>544625</v>
      </c>
      <c r="G633" s="12">
        <v>338520</v>
      </c>
      <c r="H633" s="12">
        <f t="shared" si="19"/>
        <v>206105</v>
      </c>
      <c r="I633" s="11">
        <v>44896</v>
      </c>
      <c r="J633" s="10" t="s">
        <v>17</v>
      </c>
      <c r="K633" s="9">
        <v>2022</v>
      </c>
    </row>
    <row r="634" spans="1:11" x14ac:dyDescent="0.35">
      <c r="A634" s="14" t="s">
        <v>7</v>
      </c>
      <c r="B634" s="10" t="s">
        <v>6</v>
      </c>
      <c r="C634" s="10" t="s">
        <v>9</v>
      </c>
      <c r="D634" s="12">
        <v>2138</v>
      </c>
      <c r="E634" s="13">
        <v>350</v>
      </c>
      <c r="F634" s="12">
        <f t="shared" si="18"/>
        <v>748300</v>
      </c>
      <c r="G634" s="12">
        <v>579150</v>
      </c>
      <c r="H634" s="12">
        <f t="shared" si="19"/>
        <v>169150</v>
      </c>
      <c r="I634" s="11">
        <v>44927</v>
      </c>
      <c r="J634" s="10" t="s">
        <v>25</v>
      </c>
      <c r="K634" s="9">
        <v>2023</v>
      </c>
    </row>
    <row r="635" spans="1:11" x14ac:dyDescent="0.35">
      <c r="A635" s="14" t="s">
        <v>19</v>
      </c>
      <c r="B635" s="10" t="s">
        <v>6</v>
      </c>
      <c r="C635" s="10" t="s">
        <v>9</v>
      </c>
      <c r="D635" s="12">
        <v>3825</v>
      </c>
      <c r="E635" s="13">
        <v>350</v>
      </c>
      <c r="F635" s="12">
        <f t="shared" si="18"/>
        <v>1338750</v>
      </c>
      <c r="G635" s="12">
        <v>311740</v>
      </c>
      <c r="H635" s="12">
        <f t="shared" si="19"/>
        <v>1027010</v>
      </c>
      <c r="I635" s="11">
        <v>45017</v>
      </c>
      <c r="J635" s="10" t="s">
        <v>4</v>
      </c>
      <c r="K635" s="9">
        <v>2023</v>
      </c>
    </row>
    <row r="636" spans="1:11" x14ac:dyDescent="0.35">
      <c r="A636" s="14" t="s">
        <v>7</v>
      </c>
      <c r="B636" s="10" t="s">
        <v>6</v>
      </c>
      <c r="C636" s="10" t="s">
        <v>9</v>
      </c>
      <c r="D636" s="12">
        <v>3393</v>
      </c>
      <c r="E636" s="13">
        <v>350</v>
      </c>
      <c r="F636" s="12">
        <f t="shared" si="18"/>
        <v>1187550</v>
      </c>
      <c r="G636" s="12">
        <v>52000</v>
      </c>
      <c r="H636" s="12">
        <f t="shared" si="19"/>
        <v>1135550</v>
      </c>
      <c r="I636" s="11">
        <v>45047</v>
      </c>
      <c r="J636" s="10" t="s">
        <v>0</v>
      </c>
      <c r="K636" s="9">
        <v>2023</v>
      </c>
    </row>
    <row r="637" spans="1:11" x14ac:dyDescent="0.35">
      <c r="A637" s="14" t="s">
        <v>7</v>
      </c>
      <c r="B637" s="10" t="s">
        <v>6</v>
      </c>
      <c r="C637" s="10" t="s">
        <v>9</v>
      </c>
      <c r="D637" s="12">
        <v>2215</v>
      </c>
      <c r="E637" s="13">
        <v>7</v>
      </c>
      <c r="F637" s="12">
        <f t="shared" si="18"/>
        <v>15505</v>
      </c>
      <c r="G637" s="12">
        <v>1940</v>
      </c>
      <c r="H637" s="12">
        <f t="shared" si="19"/>
        <v>13565</v>
      </c>
      <c r="I637" s="11">
        <v>45170</v>
      </c>
      <c r="J637" s="10" t="s">
        <v>22</v>
      </c>
      <c r="K637" s="9">
        <v>2023</v>
      </c>
    </row>
    <row r="638" spans="1:11" x14ac:dyDescent="0.35">
      <c r="A638" s="14" t="s">
        <v>11</v>
      </c>
      <c r="B638" s="10" t="s">
        <v>10</v>
      </c>
      <c r="C638" s="10" t="s">
        <v>9</v>
      </c>
      <c r="D638" s="12">
        <v>2278</v>
      </c>
      <c r="E638" s="13">
        <v>7</v>
      </c>
      <c r="F638" s="12">
        <f t="shared" si="18"/>
        <v>15946</v>
      </c>
      <c r="G638" s="12">
        <v>8635</v>
      </c>
      <c r="H638" s="12">
        <f t="shared" si="19"/>
        <v>7311</v>
      </c>
      <c r="I638" s="11">
        <v>44835</v>
      </c>
      <c r="J638" s="10" t="s">
        <v>12</v>
      </c>
      <c r="K638" s="9">
        <v>2022</v>
      </c>
    </row>
    <row r="639" spans="1:11" x14ac:dyDescent="0.35">
      <c r="A639" s="14" t="s">
        <v>7</v>
      </c>
      <c r="B639" s="10" t="s">
        <v>6</v>
      </c>
      <c r="C639" s="10" t="s">
        <v>9</v>
      </c>
      <c r="D639" s="12">
        <v>403</v>
      </c>
      <c r="E639" s="13">
        <v>15</v>
      </c>
      <c r="F639" s="12">
        <f t="shared" si="18"/>
        <v>6045</v>
      </c>
      <c r="G639" s="12">
        <v>23000</v>
      </c>
      <c r="H639" s="12">
        <f t="shared" si="19"/>
        <v>-16955</v>
      </c>
      <c r="I639" s="11">
        <v>45261</v>
      </c>
      <c r="J639" s="10" t="s">
        <v>17</v>
      </c>
      <c r="K639" s="9">
        <v>2023</v>
      </c>
    </row>
    <row r="640" spans="1:11" x14ac:dyDescent="0.35">
      <c r="A640" s="14" t="s">
        <v>11</v>
      </c>
      <c r="B640" s="10" t="s">
        <v>10</v>
      </c>
      <c r="C640" s="10" t="s">
        <v>5</v>
      </c>
      <c r="D640" s="12">
        <v>289</v>
      </c>
      <c r="E640" s="13">
        <v>20</v>
      </c>
      <c r="F640" s="12">
        <f t="shared" si="18"/>
        <v>5780</v>
      </c>
      <c r="G640" s="12">
        <v>2600</v>
      </c>
      <c r="H640" s="12">
        <f t="shared" si="19"/>
        <v>3180</v>
      </c>
      <c r="I640" s="11">
        <v>44958</v>
      </c>
      <c r="J640" s="10" t="s">
        <v>8</v>
      </c>
      <c r="K640" s="9">
        <v>2023</v>
      </c>
    </row>
    <row r="641" spans="1:11" x14ac:dyDescent="0.35">
      <c r="A641" s="14" t="s">
        <v>7</v>
      </c>
      <c r="B641" s="10" t="s">
        <v>6</v>
      </c>
      <c r="C641" s="10" t="s">
        <v>5</v>
      </c>
      <c r="D641" s="12">
        <v>749</v>
      </c>
      <c r="E641" s="13">
        <v>15</v>
      </c>
      <c r="F641" s="12">
        <f t="shared" si="18"/>
        <v>11235</v>
      </c>
      <c r="G641" s="12">
        <v>24700</v>
      </c>
      <c r="H641" s="12">
        <f t="shared" si="19"/>
        <v>-13465</v>
      </c>
      <c r="I641" s="11">
        <v>44805</v>
      </c>
      <c r="J641" s="10" t="s">
        <v>22</v>
      </c>
      <c r="K641" s="9">
        <v>2022</v>
      </c>
    </row>
    <row r="642" spans="1:11" x14ac:dyDescent="0.35">
      <c r="A642" s="14" t="s">
        <v>7</v>
      </c>
      <c r="B642" s="10" t="s">
        <v>6</v>
      </c>
      <c r="C642" s="10" t="s">
        <v>5</v>
      </c>
      <c r="D642" s="12">
        <v>372</v>
      </c>
      <c r="E642" s="13">
        <v>15</v>
      </c>
      <c r="F642" s="12">
        <f t="shared" ref="F642:F701" si="20">SUM(D642*E642)</f>
        <v>5580</v>
      </c>
      <c r="G642" s="12">
        <v>17430</v>
      </c>
      <c r="H642" s="12">
        <f t="shared" ref="H642:H701" si="21">F642-G642</f>
        <v>-11850</v>
      </c>
      <c r="I642" s="11">
        <v>44835</v>
      </c>
      <c r="J642" s="10" t="s">
        <v>12</v>
      </c>
      <c r="K642" s="9">
        <v>2022</v>
      </c>
    </row>
    <row r="643" spans="1:11" x14ac:dyDescent="0.35">
      <c r="A643" s="14" t="s">
        <v>3</v>
      </c>
      <c r="B643" s="10" t="s">
        <v>2</v>
      </c>
      <c r="C643" s="10" t="s">
        <v>5</v>
      </c>
      <c r="D643" s="12">
        <v>3781</v>
      </c>
      <c r="E643" s="13">
        <v>12</v>
      </c>
      <c r="F643" s="12">
        <f t="shared" si="20"/>
        <v>45372</v>
      </c>
      <c r="G643" s="12">
        <v>8742</v>
      </c>
      <c r="H643" s="12">
        <f t="shared" si="21"/>
        <v>36630</v>
      </c>
      <c r="I643" s="11">
        <v>45200</v>
      </c>
      <c r="J643" s="10" t="s">
        <v>12</v>
      </c>
      <c r="K643" s="9">
        <v>2023</v>
      </c>
    </row>
    <row r="644" spans="1:11" x14ac:dyDescent="0.35">
      <c r="A644" s="14" t="s">
        <v>16</v>
      </c>
      <c r="B644" s="10" t="s">
        <v>15</v>
      </c>
      <c r="C644" s="10" t="s">
        <v>5</v>
      </c>
      <c r="D644" s="12">
        <v>1785</v>
      </c>
      <c r="E644" s="13">
        <v>7</v>
      </c>
      <c r="F644" s="12">
        <f t="shared" si="20"/>
        <v>12495</v>
      </c>
      <c r="G644" s="12">
        <v>8655</v>
      </c>
      <c r="H644" s="12">
        <f t="shared" si="21"/>
        <v>3840</v>
      </c>
      <c r="I644" s="11">
        <v>45200</v>
      </c>
      <c r="J644" s="10" t="s">
        <v>12</v>
      </c>
      <c r="K644" s="9">
        <v>2023</v>
      </c>
    </row>
    <row r="645" spans="1:11" x14ac:dyDescent="0.35">
      <c r="A645" s="14" t="s">
        <v>7</v>
      </c>
      <c r="B645" s="10" t="s">
        <v>6</v>
      </c>
      <c r="C645" s="10" t="s">
        <v>5</v>
      </c>
      <c r="D645" s="12">
        <v>4029</v>
      </c>
      <c r="E645" s="13">
        <v>350</v>
      </c>
      <c r="F645" s="12">
        <f t="shared" si="20"/>
        <v>1410150</v>
      </c>
      <c r="G645" s="12">
        <v>182000</v>
      </c>
      <c r="H645" s="12">
        <f t="shared" si="21"/>
        <v>1228150</v>
      </c>
      <c r="I645" s="11">
        <v>45231</v>
      </c>
      <c r="J645" s="10" t="s">
        <v>18</v>
      </c>
      <c r="K645" s="9">
        <v>2023</v>
      </c>
    </row>
    <row r="646" spans="1:11" x14ac:dyDescent="0.35">
      <c r="A646" s="14" t="s">
        <v>7</v>
      </c>
      <c r="B646" s="10" t="s">
        <v>6</v>
      </c>
      <c r="C646" s="10" t="s">
        <v>5</v>
      </c>
      <c r="D646" s="12">
        <v>2813</v>
      </c>
      <c r="E646" s="13">
        <v>12</v>
      </c>
      <c r="F646" s="12">
        <f t="shared" si="20"/>
        <v>33756</v>
      </c>
      <c r="G646" s="12">
        <v>6666</v>
      </c>
      <c r="H646" s="12">
        <f t="shared" si="21"/>
        <v>27090</v>
      </c>
      <c r="I646" s="11">
        <v>44866</v>
      </c>
      <c r="J646" s="10" t="s">
        <v>18</v>
      </c>
      <c r="K646" s="9">
        <v>2022</v>
      </c>
    </row>
    <row r="647" spans="1:11" x14ac:dyDescent="0.35">
      <c r="A647" s="14" t="s">
        <v>3</v>
      </c>
      <c r="B647" s="10" t="s">
        <v>2</v>
      </c>
      <c r="C647" s="10" t="s">
        <v>5</v>
      </c>
      <c r="D647" s="12">
        <v>2150</v>
      </c>
      <c r="E647" s="13">
        <v>350</v>
      </c>
      <c r="F647" s="12">
        <f t="shared" si="20"/>
        <v>752500</v>
      </c>
      <c r="G647" s="12">
        <v>306020</v>
      </c>
      <c r="H647" s="12">
        <f t="shared" si="21"/>
        <v>446480</v>
      </c>
      <c r="I647" s="11">
        <v>45231</v>
      </c>
      <c r="J647" s="10" t="s">
        <v>18</v>
      </c>
      <c r="K647" s="9">
        <v>2023</v>
      </c>
    </row>
    <row r="648" spans="1:11" x14ac:dyDescent="0.35">
      <c r="A648" s="14" t="s">
        <v>16</v>
      </c>
      <c r="B648" s="10" t="s">
        <v>15</v>
      </c>
      <c r="C648" s="10" t="s">
        <v>5</v>
      </c>
      <c r="D648" s="12">
        <v>2093</v>
      </c>
      <c r="E648" s="13">
        <v>350</v>
      </c>
      <c r="F648" s="12">
        <f t="shared" si="20"/>
        <v>732550</v>
      </c>
      <c r="G648" s="12">
        <v>499720</v>
      </c>
      <c r="H648" s="12">
        <f t="shared" si="21"/>
        <v>232830</v>
      </c>
      <c r="I648" s="11">
        <v>44866</v>
      </c>
      <c r="J648" s="10" t="s">
        <v>18</v>
      </c>
      <c r="K648" s="9">
        <v>2022</v>
      </c>
    </row>
    <row r="649" spans="1:11" x14ac:dyDescent="0.35">
      <c r="A649" s="14" t="s">
        <v>11</v>
      </c>
      <c r="B649" s="10" t="s">
        <v>10</v>
      </c>
      <c r="C649" s="10" t="s">
        <v>21</v>
      </c>
      <c r="D649" s="12">
        <v>4391</v>
      </c>
      <c r="E649" s="13">
        <v>125</v>
      </c>
      <c r="F649" s="12">
        <f t="shared" si="20"/>
        <v>548875</v>
      </c>
      <c r="G649" s="12">
        <v>189000</v>
      </c>
      <c r="H649" s="12">
        <f t="shared" si="21"/>
        <v>359875</v>
      </c>
      <c r="I649" s="11">
        <v>44958</v>
      </c>
      <c r="J649" s="10" t="s">
        <v>8</v>
      </c>
      <c r="K649" s="9">
        <v>2023</v>
      </c>
    </row>
    <row r="650" spans="1:11" x14ac:dyDescent="0.35">
      <c r="A650" s="14" t="s">
        <v>3</v>
      </c>
      <c r="B650" s="10" t="s">
        <v>2</v>
      </c>
      <c r="C650" s="10" t="s">
        <v>21</v>
      </c>
      <c r="D650" s="12">
        <v>2695</v>
      </c>
      <c r="E650" s="13">
        <v>20</v>
      </c>
      <c r="F650" s="12">
        <f t="shared" si="20"/>
        <v>53900</v>
      </c>
      <c r="G650" s="12">
        <v>6060</v>
      </c>
      <c r="H650" s="12">
        <f t="shared" si="21"/>
        <v>47840</v>
      </c>
      <c r="I650" s="11">
        <v>45017</v>
      </c>
      <c r="J650" s="10" t="s">
        <v>4</v>
      </c>
      <c r="K650" s="9">
        <v>2023</v>
      </c>
    </row>
    <row r="651" spans="1:11" x14ac:dyDescent="0.35">
      <c r="A651" s="14" t="s">
        <v>3</v>
      </c>
      <c r="B651" s="10" t="s">
        <v>2</v>
      </c>
      <c r="C651" s="10" t="s">
        <v>21</v>
      </c>
      <c r="D651" s="12">
        <v>1337</v>
      </c>
      <c r="E651" s="13">
        <v>300</v>
      </c>
      <c r="F651" s="12">
        <f t="shared" si="20"/>
        <v>401100</v>
      </c>
      <c r="G651" s="12">
        <v>615000</v>
      </c>
      <c r="H651" s="12">
        <f t="shared" si="21"/>
        <v>-213900</v>
      </c>
      <c r="I651" s="11">
        <v>45108</v>
      </c>
      <c r="J651" s="10" t="s">
        <v>20</v>
      </c>
      <c r="K651" s="9">
        <v>2023</v>
      </c>
    </row>
    <row r="652" spans="1:11" x14ac:dyDescent="0.35">
      <c r="A652" s="14" t="s">
        <v>7</v>
      </c>
      <c r="B652" s="10" t="s">
        <v>6</v>
      </c>
      <c r="C652" s="10" t="s">
        <v>21</v>
      </c>
      <c r="D652" s="12">
        <v>2621</v>
      </c>
      <c r="E652" s="13">
        <v>300</v>
      </c>
      <c r="F652" s="12">
        <f t="shared" si="20"/>
        <v>786300</v>
      </c>
      <c r="G652" s="12">
        <v>67250</v>
      </c>
      <c r="H652" s="12">
        <f t="shared" si="21"/>
        <v>719050</v>
      </c>
      <c r="I652" s="11">
        <v>44835</v>
      </c>
      <c r="J652" s="10" t="s">
        <v>12</v>
      </c>
      <c r="K652" s="9">
        <v>2022</v>
      </c>
    </row>
    <row r="653" spans="1:11" x14ac:dyDescent="0.35">
      <c r="A653" s="14" t="s">
        <v>19</v>
      </c>
      <c r="B653" s="10" t="s">
        <v>6</v>
      </c>
      <c r="C653" s="10" t="s">
        <v>21</v>
      </c>
      <c r="D653" s="12">
        <v>3735</v>
      </c>
      <c r="E653" s="13">
        <v>300</v>
      </c>
      <c r="F653" s="12">
        <f t="shared" si="20"/>
        <v>1120500</v>
      </c>
      <c r="G653" s="12">
        <v>634000</v>
      </c>
      <c r="H653" s="12">
        <f t="shared" si="21"/>
        <v>486500</v>
      </c>
      <c r="I653" s="11">
        <v>44866</v>
      </c>
      <c r="J653" s="10" t="s">
        <v>18</v>
      </c>
      <c r="K653" s="9">
        <v>2022</v>
      </c>
    </row>
    <row r="654" spans="1:11" x14ac:dyDescent="0.35">
      <c r="A654" s="14" t="s">
        <v>11</v>
      </c>
      <c r="B654" s="10" t="s">
        <v>10</v>
      </c>
      <c r="C654" s="10" t="s">
        <v>1</v>
      </c>
      <c r="D654" s="12">
        <v>4320</v>
      </c>
      <c r="E654" s="13">
        <v>7</v>
      </c>
      <c r="F654" s="12">
        <f t="shared" si="20"/>
        <v>30240</v>
      </c>
      <c r="G654" s="12">
        <v>14515</v>
      </c>
      <c r="H654" s="12">
        <f t="shared" si="21"/>
        <v>15725</v>
      </c>
      <c r="I654" s="11">
        <v>44986</v>
      </c>
      <c r="J654" s="10" t="s">
        <v>14</v>
      </c>
      <c r="K654" s="9">
        <v>2023</v>
      </c>
    </row>
    <row r="655" spans="1:11" x14ac:dyDescent="0.35">
      <c r="A655" s="14" t="s">
        <v>3</v>
      </c>
      <c r="B655" s="10" t="s">
        <v>2</v>
      </c>
      <c r="C655" s="10" t="s">
        <v>1</v>
      </c>
      <c r="D655" s="12">
        <v>2828</v>
      </c>
      <c r="E655" s="13">
        <v>300</v>
      </c>
      <c r="F655" s="12">
        <f t="shared" si="20"/>
        <v>848400</v>
      </c>
      <c r="G655" s="12">
        <v>635250</v>
      </c>
      <c r="H655" s="12">
        <f t="shared" si="21"/>
        <v>213150</v>
      </c>
      <c r="I655" s="11">
        <v>45139</v>
      </c>
      <c r="J655" s="10" t="s">
        <v>23</v>
      </c>
      <c r="K655" s="9">
        <v>2023</v>
      </c>
    </row>
    <row r="656" spans="1:11" x14ac:dyDescent="0.35">
      <c r="A656" s="14" t="s">
        <v>7</v>
      </c>
      <c r="B656" s="10" t="s">
        <v>6</v>
      </c>
      <c r="C656" s="10" t="s">
        <v>1</v>
      </c>
      <c r="D656" s="12">
        <v>2586</v>
      </c>
      <c r="E656" s="13">
        <v>300</v>
      </c>
      <c r="F656" s="12">
        <f t="shared" si="20"/>
        <v>775800</v>
      </c>
      <c r="G656" s="12">
        <v>67250</v>
      </c>
      <c r="H656" s="12">
        <f t="shared" si="21"/>
        <v>708550</v>
      </c>
      <c r="I656" s="11">
        <v>44835</v>
      </c>
      <c r="J656" s="10" t="s">
        <v>12</v>
      </c>
      <c r="K656" s="9">
        <v>2022</v>
      </c>
    </row>
    <row r="657" spans="1:11" x14ac:dyDescent="0.35">
      <c r="A657" s="14" t="s">
        <v>7</v>
      </c>
      <c r="B657" s="10" t="s">
        <v>6</v>
      </c>
      <c r="C657" s="10" t="s">
        <v>1</v>
      </c>
      <c r="D657" s="12">
        <v>1248</v>
      </c>
      <c r="E657" s="13">
        <v>300</v>
      </c>
      <c r="F657" s="12">
        <f t="shared" si="20"/>
        <v>374400</v>
      </c>
      <c r="G657" s="12">
        <v>374000</v>
      </c>
      <c r="H657" s="12">
        <f t="shared" si="21"/>
        <v>400</v>
      </c>
      <c r="I657" s="11">
        <v>45200</v>
      </c>
      <c r="J657" s="10" t="s">
        <v>12</v>
      </c>
      <c r="K657" s="9">
        <v>2023</v>
      </c>
    </row>
    <row r="658" spans="1:11" x14ac:dyDescent="0.35">
      <c r="A658" s="14" t="s">
        <v>3</v>
      </c>
      <c r="B658" s="10" t="s">
        <v>2</v>
      </c>
      <c r="C658" s="10" t="s">
        <v>1</v>
      </c>
      <c r="D658" s="12">
        <v>4035</v>
      </c>
      <c r="E658" s="13">
        <v>300</v>
      </c>
      <c r="F658" s="12">
        <f t="shared" si="20"/>
        <v>1210500</v>
      </c>
      <c r="G658" s="12">
        <v>252500</v>
      </c>
      <c r="H658" s="12">
        <f t="shared" si="21"/>
        <v>958000</v>
      </c>
      <c r="I658" s="11">
        <v>45200</v>
      </c>
      <c r="J658" s="10" t="s">
        <v>12</v>
      </c>
      <c r="K658" s="9">
        <v>2023</v>
      </c>
    </row>
    <row r="659" spans="1:11" x14ac:dyDescent="0.35">
      <c r="A659" s="14" t="s">
        <v>16</v>
      </c>
      <c r="B659" s="10" t="s">
        <v>15</v>
      </c>
      <c r="C659" s="10" t="s">
        <v>1</v>
      </c>
      <c r="D659" s="12">
        <v>359</v>
      </c>
      <c r="E659" s="13">
        <v>350</v>
      </c>
      <c r="F659" s="12">
        <f t="shared" si="20"/>
        <v>125650</v>
      </c>
      <c r="G659" s="12">
        <v>333060</v>
      </c>
      <c r="H659" s="12">
        <f t="shared" si="21"/>
        <v>-207410</v>
      </c>
      <c r="I659" s="11">
        <v>44896</v>
      </c>
      <c r="J659" s="10" t="s">
        <v>17</v>
      </c>
      <c r="K659" s="9">
        <v>2022</v>
      </c>
    </row>
    <row r="660" spans="1:11" x14ac:dyDescent="0.35">
      <c r="A660" s="14" t="s">
        <v>7</v>
      </c>
      <c r="B660" s="10" t="s">
        <v>6</v>
      </c>
      <c r="C660" s="10" t="s">
        <v>13</v>
      </c>
      <c r="D660" s="12">
        <v>3926</v>
      </c>
      <c r="E660" s="13">
        <v>300</v>
      </c>
      <c r="F660" s="12">
        <f t="shared" si="20"/>
        <v>1177800</v>
      </c>
      <c r="G660" s="12">
        <v>222000</v>
      </c>
      <c r="H660" s="12">
        <f t="shared" si="21"/>
        <v>955800</v>
      </c>
      <c r="I660" s="11">
        <v>44986</v>
      </c>
      <c r="J660" s="10" t="s">
        <v>14</v>
      </c>
      <c r="K660" s="9">
        <v>2023</v>
      </c>
    </row>
    <row r="661" spans="1:11" x14ac:dyDescent="0.35">
      <c r="A661" s="14" t="s">
        <v>3</v>
      </c>
      <c r="B661" s="10" t="s">
        <v>2</v>
      </c>
      <c r="C661" s="10" t="s">
        <v>13</v>
      </c>
      <c r="D661" s="12">
        <v>4247</v>
      </c>
      <c r="E661" s="13">
        <v>125</v>
      </c>
      <c r="F661" s="12">
        <f t="shared" si="20"/>
        <v>530875</v>
      </c>
      <c r="G661" s="12">
        <v>341280</v>
      </c>
      <c r="H661" s="12">
        <f t="shared" si="21"/>
        <v>189595</v>
      </c>
      <c r="I661" s="11">
        <v>45047</v>
      </c>
      <c r="J661" s="10" t="s">
        <v>0</v>
      </c>
      <c r="K661" s="9">
        <v>2023</v>
      </c>
    </row>
    <row r="662" spans="1:11" x14ac:dyDescent="0.35">
      <c r="A662" s="14" t="s">
        <v>16</v>
      </c>
      <c r="B662" s="10" t="s">
        <v>15</v>
      </c>
      <c r="C662" s="10" t="s">
        <v>13</v>
      </c>
      <c r="D662" s="12">
        <v>2695</v>
      </c>
      <c r="E662" s="13">
        <v>12</v>
      </c>
      <c r="F662" s="12">
        <f t="shared" si="20"/>
        <v>32340</v>
      </c>
      <c r="G662" s="12">
        <v>7425</v>
      </c>
      <c r="H662" s="12">
        <f t="shared" si="21"/>
        <v>24915</v>
      </c>
      <c r="I662" s="11">
        <v>45139</v>
      </c>
      <c r="J662" s="10" t="s">
        <v>23</v>
      </c>
      <c r="K662" s="9">
        <v>2023</v>
      </c>
    </row>
    <row r="663" spans="1:11" x14ac:dyDescent="0.35">
      <c r="A663" s="14" t="s">
        <v>7</v>
      </c>
      <c r="B663" s="10" t="s">
        <v>6</v>
      </c>
      <c r="C663" s="10" t="s">
        <v>13</v>
      </c>
      <c r="D663" s="12">
        <v>1104</v>
      </c>
      <c r="E663" s="13">
        <v>15</v>
      </c>
      <c r="F663" s="12">
        <f t="shared" si="20"/>
        <v>16560</v>
      </c>
      <c r="G663" s="12">
        <v>17430</v>
      </c>
      <c r="H663" s="12">
        <f t="shared" si="21"/>
        <v>-870</v>
      </c>
      <c r="I663" s="11">
        <v>44835</v>
      </c>
      <c r="J663" s="10" t="s">
        <v>12</v>
      </c>
      <c r="K663" s="9">
        <v>2022</v>
      </c>
    </row>
    <row r="664" spans="1:11" x14ac:dyDescent="0.35">
      <c r="A664" s="14" t="s">
        <v>3</v>
      </c>
      <c r="B664" s="10" t="s">
        <v>2</v>
      </c>
      <c r="C664" s="10" t="s">
        <v>13</v>
      </c>
      <c r="D664" s="12">
        <v>1449</v>
      </c>
      <c r="E664" s="13">
        <v>12</v>
      </c>
      <c r="F664" s="12">
        <f t="shared" si="20"/>
        <v>17388</v>
      </c>
      <c r="G664" s="12">
        <v>8742</v>
      </c>
      <c r="H664" s="12">
        <f t="shared" si="21"/>
        <v>8646</v>
      </c>
      <c r="I664" s="11">
        <v>45200</v>
      </c>
      <c r="J664" s="10" t="s">
        <v>12</v>
      </c>
      <c r="K664" s="9">
        <v>2023</v>
      </c>
    </row>
    <row r="665" spans="1:11" x14ac:dyDescent="0.35">
      <c r="A665" s="14" t="s">
        <v>16</v>
      </c>
      <c r="B665" s="10" t="s">
        <v>15</v>
      </c>
      <c r="C665" s="10" t="s">
        <v>13</v>
      </c>
      <c r="D665" s="12">
        <v>1131</v>
      </c>
      <c r="E665" s="13">
        <v>7</v>
      </c>
      <c r="F665" s="12">
        <f t="shared" si="20"/>
        <v>7917</v>
      </c>
      <c r="G665" s="12">
        <v>8655</v>
      </c>
      <c r="H665" s="12">
        <f t="shared" si="21"/>
        <v>-738</v>
      </c>
      <c r="I665" s="11">
        <v>45200</v>
      </c>
      <c r="J665" s="10" t="s">
        <v>12</v>
      </c>
      <c r="K665" s="9">
        <v>2023</v>
      </c>
    </row>
    <row r="666" spans="1:11" x14ac:dyDescent="0.35">
      <c r="A666" s="14" t="s">
        <v>11</v>
      </c>
      <c r="B666" s="10" t="s">
        <v>10</v>
      </c>
      <c r="C666" s="10" t="s">
        <v>13</v>
      </c>
      <c r="D666" s="12">
        <v>1468</v>
      </c>
      <c r="E666" s="13">
        <v>7</v>
      </c>
      <c r="F666" s="12">
        <f t="shared" si="20"/>
        <v>10276</v>
      </c>
      <c r="G666" s="12">
        <v>8635</v>
      </c>
      <c r="H666" s="12">
        <f t="shared" si="21"/>
        <v>1641</v>
      </c>
      <c r="I666" s="11">
        <v>44835</v>
      </c>
      <c r="J666" s="10" t="s">
        <v>12</v>
      </c>
      <c r="K666" s="9">
        <v>2022</v>
      </c>
    </row>
    <row r="667" spans="1:11" x14ac:dyDescent="0.35">
      <c r="A667" s="14" t="s">
        <v>11</v>
      </c>
      <c r="B667" s="10" t="s">
        <v>10</v>
      </c>
      <c r="C667" s="10" t="s">
        <v>13</v>
      </c>
      <c r="D667" s="12">
        <v>1272</v>
      </c>
      <c r="E667" s="13">
        <v>15</v>
      </c>
      <c r="F667" s="12">
        <f t="shared" si="20"/>
        <v>19080</v>
      </c>
      <c r="G667" s="12">
        <v>18700</v>
      </c>
      <c r="H667" s="12">
        <f t="shared" si="21"/>
        <v>380</v>
      </c>
      <c r="I667" s="11">
        <v>44866</v>
      </c>
      <c r="J667" s="10" t="s">
        <v>18</v>
      </c>
      <c r="K667" s="9">
        <v>2022</v>
      </c>
    </row>
    <row r="668" spans="1:11" x14ac:dyDescent="0.35">
      <c r="A668" s="14" t="s">
        <v>16</v>
      </c>
      <c r="B668" s="10" t="s">
        <v>15</v>
      </c>
      <c r="C668" s="10" t="s">
        <v>24</v>
      </c>
      <c r="D668" s="12">
        <v>1403</v>
      </c>
      <c r="E668" s="13">
        <v>125</v>
      </c>
      <c r="F668" s="12">
        <f t="shared" si="20"/>
        <v>175375</v>
      </c>
      <c r="G668" s="12">
        <v>140880</v>
      </c>
      <c r="H668" s="12">
        <f t="shared" si="21"/>
        <v>34495</v>
      </c>
      <c r="I668" s="11">
        <v>45139</v>
      </c>
      <c r="J668" s="10" t="s">
        <v>23</v>
      </c>
      <c r="K668" s="9">
        <v>2023</v>
      </c>
    </row>
    <row r="669" spans="1:11" x14ac:dyDescent="0.35">
      <c r="A669" s="14" t="s">
        <v>19</v>
      </c>
      <c r="B669" s="10" t="s">
        <v>6</v>
      </c>
      <c r="C669" s="10" t="s">
        <v>24</v>
      </c>
      <c r="D669" s="12">
        <v>2161</v>
      </c>
      <c r="E669" s="13">
        <v>125</v>
      </c>
      <c r="F669" s="12">
        <f t="shared" si="20"/>
        <v>270125</v>
      </c>
      <c r="G669" s="12">
        <v>332040</v>
      </c>
      <c r="H669" s="12">
        <f t="shared" si="21"/>
        <v>-61915</v>
      </c>
      <c r="I669" s="11">
        <v>45139</v>
      </c>
      <c r="J669" s="10" t="s">
        <v>23</v>
      </c>
      <c r="K669" s="9">
        <v>2023</v>
      </c>
    </row>
    <row r="670" spans="1:11" x14ac:dyDescent="0.35">
      <c r="A670" s="14" t="s">
        <v>19</v>
      </c>
      <c r="B670" s="10" t="s">
        <v>6</v>
      </c>
      <c r="C670" s="10" t="s">
        <v>24</v>
      </c>
      <c r="D670" s="12">
        <v>1937</v>
      </c>
      <c r="E670" s="13">
        <v>125</v>
      </c>
      <c r="F670" s="12">
        <f t="shared" si="20"/>
        <v>242125</v>
      </c>
      <c r="G670" s="12">
        <v>130200</v>
      </c>
      <c r="H670" s="12">
        <f t="shared" si="21"/>
        <v>111925</v>
      </c>
      <c r="I670" s="11">
        <v>45200</v>
      </c>
      <c r="J670" s="10" t="s">
        <v>12</v>
      </c>
      <c r="K670" s="9">
        <v>2023</v>
      </c>
    </row>
    <row r="671" spans="1:11" x14ac:dyDescent="0.35">
      <c r="A671" s="14" t="s">
        <v>11</v>
      </c>
      <c r="B671" s="10" t="s">
        <v>10</v>
      </c>
      <c r="C671" s="10" t="s">
        <v>9</v>
      </c>
      <c r="D671" s="12">
        <v>2879</v>
      </c>
      <c r="E671" s="13">
        <v>300</v>
      </c>
      <c r="F671" s="12">
        <f t="shared" si="20"/>
        <v>863700</v>
      </c>
      <c r="G671" s="12">
        <v>136500</v>
      </c>
      <c r="H671" s="12">
        <f t="shared" si="21"/>
        <v>727200</v>
      </c>
      <c r="I671" s="11">
        <v>45200</v>
      </c>
      <c r="J671" s="10" t="s">
        <v>12</v>
      </c>
      <c r="K671" s="9">
        <v>2023</v>
      </c>
    </row>
    <row r="672" spans="1:11" x14ac:dyDescent="0.35">
      <c r="A672" s="14" t="s">
        <v>19</v>
      </c>
      <c r="B672" s="10" t="s">
        <v>6</v>
      </c>
      <c r="C672" s="10" t="s">
        <v>5</v>
      </c>
      <c r="D672" s="12">
        <v>1330</v>
      </c>
      <c r="E672" s="13">
        <v>20</v>
      </c>
      <c r="F672" s="12">
        <f t="shared" si="20"/>
        <v>26600</v>
      </c>
      <c r="G672" s="12">
        <v>11580</v>
      </c>
      <c r="H672" s="12">
        <f t="shared" si="21"/>
        <v>15020</v>
      </c>
      <c r="I672" s="11">
        <v>44986</v>
      </c>
      <c r="J672" s="10" t="s">
        <v>14</v>
      </c>
      <c r="K672" s="9">
        <v>2023</v>
      </c>
    </row>
    <row r="673" spans="1:11" x14ac:dyDescent="0.35">
      <c r="A673" s="14" t="s">
        <v>7</v>
      </c>
      <c r="B673" s="10" t="s">
        <v>6</v>
      </c>
      <c r="C673" s="10" t="s">
        <v>5</v>
      </c>
      <c r="D673" s="12">
        <v>2426</v>
      </c>
      <c r="E673" s="13">
        <v>15</v>
      </c>
      <c r="F673" s="12">
        <f t="shared" si="20"/>
        <v>36390</v>
      </c>
      <c r="G673" s="12">
        <v>16140</v>
      </c>
      <c r="H673" s="12">
        <f t="shared" si="21"/>
        <v>20250</v>
      </c>
      <c r="I673" s="11">
        <v>45017</v>
      </c>
      <c r="J673" s="10" t="s">
        <v>4</v>
      </c>
      <c r="K673" s="9">
        <v>2023</v>
      </c>
    </row>
    <row r="674" spans="1:11" x14ac:dyDescent="0.35">
      <c r="A674" s="14" t="s">
        <v>11</v>
      </c>
      <c r="B674" s="10" t="s">
        <v>10</v>
      </c>
      <c r="C674" s="10" t="s">
        <v>5</v>
      </c>
      <c r="D674" s="12">
        <v>2033</v>
      </c>
      <c r="E674" s="13">
        <v>7</v>
      </c>
      <c r="F674" s="12">
        <f t="shared" si="20"/>
        <v>14231</v>
      </c>
      <c r="G674" s="12">
        <v>12675</v>
      </c>
      <c r="H674" s="12">
        <f t="shared" si="21"/>
        <v>1556</v>
      </c>
      <c r="I674" s="11">
        <v>45017</v>
      </c>
      <c r="J674" s="10" t="s">
        <v>4</v>
      </c>
      <c r="K674" s="9">
        <v>2023</v>
      </c>
    </row>
    <row r="675" spans="1:11" x14ac:dyDescent="0.35">
      <c r="A675" s="14" t="s">
        <v>11</v>
      </c>
      <c r="B675" s="10" t="s">
        <v>10</v>
      </c>
      <c r="C675" s="10" t="s">
        <v>5</v>
      </c>
      <c r="D675" s="12">
        <v>2029</v>
      </c>
      <c r="E675" s="13">
        <v>350</v>
      </c>
      <c r="F675" s="12">
        <f t="shared" si="20"/>
        <v>710150</v>
      </c>
      <c r="G675" s="12">
        <v>741260</v>
      </c>
      <c r="H675" s="12">
        <f t="shared" si="21"/>
        <v>-31110</v>
      </c>
      <c r="I675" s="11">
        <v>45047</v>
      </c>
      <c r="J675" s="10" t="s">
        <v>0</v>
      </c>
      <c r="K675" s="9">
        <v>2023</v>
      </c>
    </row>
    <row r="676" spans="1:11" x14ac:dyDescent="0.35">
      <c r="A676" s="14" t="s">
        <v>7</v>
      </c>
      <c r="B676" s="10" t="s">
        <v>6</v>
      </c>
      <c r="C676" s="10" t="s">
        <v>5</v>
      </c>
      <c r="D676" s="12">
        <v>1049</v>
      </c>
      <c r="E676" s="13">
        <v>15</v>
      </c>
      <c r="F676" s="12">
        <f t="shared" si="20"/>
        <v>15735</v>
      </c>
      <c r="G676" s="12">
        <v>25590</v>
      </c>
      <c r="H676" s="12">
        <f t="shared" si="21"/>
        <v>-9855</v>
      </c>
      <c r="I676" s="11">
        <v>45139</v>
      </c>
      <c r="J676" s="10" t="s">
        <v>23</v>
      </c>
      <c r="K676" s="9">
        <v>2023</v>
      </c>
    </row>
    <row r="677" spans="1:11" x14ac:dyDescent="0.35">
      <c r="A677" s="14" t="s">
        <v>3</v>
      </c>
      <c r="B677" s="10" t="s">
        <v>2</v>
      </c>
      <c r="C677" s="10" t="s">
        <v>5</v>
      </c>
      <c r="D677" s="12">
        <v>1062</v>
      </c>
      <c r="E677" s="13">
        <v>20</v>
      </c>
      <c r="F677" s="12">
        <f t="shared" si="20"/>
        <v>21240</v>
      </c>
      <c r="G677" s="12">
        <v>2670</v>
      </c>
      <c r="H677" s="12">
        <f t="shared" si="21"/>
        <v>18570</v>
      </c>
      <c r="I677" s="11">
        <v>44835</v>
      </c>
      <c r="J677" s="10" t="s">
        <v>12</v>
      </c>
      <c r="K677" s="9">
        <v>2022</v>
      </c>
    </row>
    <row r="678" spans="1:11" x14ac:dyDescent="0.35">
      <c r="A678" s="14" t="s">
        <v>19</v>
      </c>
      <c r="B678" s="10" t="s">
        <v>6</v>
      </c>
      <c r="C678" s="10" t="s">
        <v>5</v>
      </c>
      <c r="D678" s="12">
        <v>2509</v>
      </c>
      <c r="E678" s="13">
        <v>125</v>
      </c>
      <c r="F678" s="12">
        <f t="shared" si="20"/>
        <v>313625</v>
      </c>
      <c r="G678" s="12">
        <v>130200</v>
      </c>
      <c r="H678" s="12">
        <f t="shared" si="21"/>
        <v>183425</v>
      </c>
      <c r="I678" s="11">
        <v>45200</v>
      </c>
      <c r="J678" s="10" t="s">
        <v>12</v>
      </c>
      <c r="K678" s="9">
        <v>2023</v>
      </c>
    </row>
    <row r="679" spans="1:11" x14ac:dyDescent="0.35">
      <c r="A679" s="14" t="s">
        <v>19</v>
      </c>
      <c r="B679" s="10" t="s">
        <v>6</v>
      </c>
      <c r="C679" s="10" t="s">
        <v>5</v>
      </c>
      <c r="D679" s="12">
        <v>1743</v>
      </c>
      <c r="E679" s="13">
        <v>15</v>
      </c>
      <c r="F679" s="12">
        <f t="shared" si="20"/>
        <v>26145</v>
      </c>
      <c r="G679" s="12">
        <v>11750</v>
      </c>
      <c r="H679" s="12">
        <f t="shared" si="21"/>
        <v>14395</v>
      </c>
      <c r="I679" s="11">
        <v>45200</v>
      </c>
      <c r="J679" s="10" t="s">
        <v>12</v>
      </c>
      <c r="K679" s="9">
        <v>2023</v>
      </c>
    </row>
    <row r="680" spans="1:11" x14ac:dyDescent="0.35">
      <c r="A680" s="14" t="s">
        <v>3</v>
      </c>
      <c r="B680" s="10" t="s">
        <v>2</v>
      </c>
      <c r="C680" s="10" t="s">
        <v>5</v>
      </c>
      <c r="D680" s="12">
        <v>3418</v>
      </c>
      <c r="E680" s="13">
        <v>350</v>
      </c>
      <c r="F680" s="12">
        <f t="shared" si="20"/>
        <v>1196300</v>
      </c>
      <c r="G680" s="12">
        <v>521820</v>
      </c>
      <c r="H680" s="12">
        <f t="shared" si="21"/>
        <v>674480</v>
      </c>
      <c r="I680" s="11">
        <v>44866</v>
      </c>
      <c r="J680" s="10" t="s">
        <v>18</v>
      </c>
      <c r="K680" s="9">
        <v>2022</v>
      </c>
    </row>
    <row r="681" spans="1:11" x14ac:dyDescent="0.35">
      <c r="A681" s="14" t="s">
        <v>11</v>
      </c>
      <c r="B681" s="10" t="s">
        <v>10</v>
      </c>
      <c r="C681" s="10" t="s">
        <v>5</v>
      </c>
      <c r="D681" s="12">
        <v>1751</v>
      </c>
      <c r="E681" s="13">
        <v>350</v>
      </c>
      <c r="F681" s="12">
        <f t="shared" si="20"/>
        <v>612850</v>
      </c>
      <c r="G681" s="12">
        <v>559260</v>
      </c>
      <c r="H681" s="12">
        <f t="shared" si="21"/>
        <v>53590</v>
      </c>
      <c r="I681" s="11">
        <v>44866</v>
      </c>
      <c r="J681" s="10" t="s">
        <v>18</v>
      </c>
      <c r="K681" s="9">
        <v>2022</v>
      </c>
    </row>
    <row r="682" spans="1:11" x14ac:dyDescent="0.35">
      <c r="A682" s="14" t="s">
        <v>3</v>
      </c>
      <c r="B682" s="10" t="s">
        <v>2</v>
      </c>
      <c r="C682" s="10" t="s">
        <v>5</v>
      </c>
      <c r="D682" s="12">
        <v>3228</v>
      </c>
      <c r="E682" s="13">
        <v>12</v>
      </c>
      <c r="F682" s="12">
        <f t="shared" si="20"/>
        <v>38736</v>
      </c>
      <c r="G682" s="12">
        <v>2742</v>
      </c>
      <c r="H682" s="12">
        <f t="shared" si="21"/>
        <v>35994</v>
      </c>
      <c r="I682" s="11">
        <v>45261</v>
      </c>
      <c r="J682" s="10" t="s">
        <v>17</v>
      </c>
      <c r="K682" s="9">
        <v>2023</v>
      </c>
    </row>
    <row r="683" spans="1:11" x14ac:dyDescent="0.35">
      <c r="A683" s="14" t="s">
        <v>16</v>
      </c>
      <c r="B683" s="10" t="s">
        <v>15</v>
      </c>
      <c r="C683" s="10" t="s">
        <v>5</v>
      </c>
      <c r="D683" s="12">
        <v>1105</v>
      </c>
      <c r="E683" s="13">
        <v>20</v>
      </c>
      <c r="F683" s="12">
        <f t="shared" si="20"/>
        <v>22100</v>
      </c>
      <c r="G683" s="12">
        <v>2930</v>
      </c>
      <c r="H683" s="12">
        <f t="shared" si="21"/>
        <v>19170</v>
      </c>
      <c r="I683" s="11">
        <v>45261</v>
      </c>
      <c r="J683" s="10" t="s">
        <v>17</v>
      </c>
      <c r="K683" s="9">
        <v>2023</v>
      </c>
    </row>
    <row r="684" spans="1:11" x14ac:dyDescent="0.35">
      <c r="A684" s="14" t="s">
        <v>11</v>
      </c>
      <c r="B684" s="10" t="s">
        <v>10</v>
      </c>
      <c r="C684" s="10" t="s">
        <v>21</v>
      </c>
      <c r="D684" s="12">
        <v>2778</v>
      </c>
      <c r="E684" s="13">
        <v>12</v>
      </c>
      <c r="F684" s="12">
        <f t="shared" si="20"/>
        <v>33336</v>
      </c>
      <c r="G684" s="12">
        <v>1500</v>
      </c>
      <c r="H684" s="12">
        <f t="shared" si="21"/>
        <v>31836</v>
      </c>
      <c r="I684" s="11">
        <v>44986</v>
      </c>
      <c r="J684" s="10" t="s">
        <v>14</v>
      </c>
      <c r="K684" s="9">
        <v>2023</v>
      </c>
    </row>
    <row r="685" spans="1:11" x14ac:dyDescent="0.35">
      <c r="A685" s="14" t="s">
        <v>16</v>
      </c>
      <c r="B685" s="10" t="s">
        <v>15</v>
      </c>
      <c r="C685" s="10" t="s">
        <v>21</v>
      </c>
      <c r="D685" s="12">
        <v>1173</v>
      </c>
      <c r="E685" s="13">
        <v>15</v>
      </c>
      <c r="F685" s="12">
        <f t="shared" si="20"/>
        <v>17595</v>
      </c>
      <c r="G685" s="12">
        <v>28260</v>
      </c>
      <c r="H685" s="12">
        <f t="shared" si="21"/>
        <v>-10665</v>
      </c>
      <c r="I685" s="11">
        <v>45047</v>
      </c>
      <c r="J685" s="10" t="s">
        <v>0</v>
      </c>
      <c r="K685" s="9">
        <v>2023</v>
      </c>
    </row>
    <row r="686" spans="1:11" x14ac:dyDescent="0.35">
      <c r="A686" s="14" t="s">
        <v>16</v>
      </c>
      <c r="B686" s="10" t="s">
        <v>15</v>
      </c>
      <c r="C686" s="10" t="s">
        <v>21</v>
      </c>
      <c r="D686" s="12">
        <v>3160</v>
      </c>
      <c r="E686" s="13">
        <v>125</v>
      </c>
      <c r="F686" s="12">
        <f t="shared" si="20"/>
        <v>395000</v>
      </c>
      <c r="G686" s="12">
        <v>79560</v>
      </c>
      <c r="H686" s="12">
        <f t="shared" si="21"/>
        <v>315440</v>
      </c>
      <c r="I686" s="11">
        <v>45170</v>
      </c>
      <c r="J686" s="10" t="s">
        <v>22</v>
      </c>
      <c r="K686" s="9">
        <v>2023</v>
      </c>
    </row>
    <row r="687" spans="1:11" x14ac:dyDescent="0.35">
      <c r="A687" s="14" t="s">
        <v>3</v>
      </c>
      <c r="B687" s="10" t="s">
        <v>2</v>
      </c>
      <c r="C687" s="10" t="s">
        <v>21</v>
      </c>
      <c r="D687" s="12">
        <v>4322</v>
      </c>
      <c r="E687" s="13">
        <v>300</v>
      </c>
      <c r="F687" s="12">
        <f t="shared" si="20"/>
        <v>1296600</v>
      </c>
      <c r="G687" s="12">
        <v>643500</v>
      </c>
      <c r="H687" s="12">
        <f t="shared" si="21"/>
        <v>653100</v>
      </c>
      <c r="I687" s="11">
        <v>44866</v>
      </c>
      <c r="J687" s="10" t="s">
        <v>18</v>
      </c>
      <c r="K687" s="9">
        <v>2022</v>
      </c>
    </row>
    <row r="688" spans="1:11" x14ac:dyDescent="0.35">
      <c r="A688" s="14" t="s">
        <v>3</v>
      </c>
      <c r="B688" s="10" t="s">
        <v>2</v>
      </c>
      <c r="C688" s="10" t="s">
        <v>21</v>
      </c>
      <c r="D688" s="12">
        <v>1901</v>
      </c>
      <c r="E688" s="13">
        <v>125</v>
      </c>
      <c r="F688" s="12">
        <f t="shared" si="20"/>
        <v>237625</v>
      </c>
      <c r="G688" s="12">
        <v>292560</v>
      </c>
      <c r="H688" s="12">
        <f t="shared" si="21"/>
        <v>-54935</v>
      </c>
      <c r="I688" s="11">
        <v>44896</v>
      </c>
      <c r="J688" s="10" t="s">
        <v>17</v>
      </c>
      <c r="K688" s="9">
        <v>2022</v>
      </c>
    </row>
    <row r="689" spans="1:11" x14ac:dyDescent="0.35">
      <c r="A689" s="14" t="s">
        <v>3</v>
      </c>
      <c r="B689" s="10" t="s">
        <v>2</v>
      </c>
      <c r="C689" s="10" t="s">
        <v>21</v>
      </c>
      <c r="D689" s="12">
        <v>2980</v>
      </c>
      <c r="E689" s="13">
        <v>12</v>
      </c>
      <c r="F689" s="12">
        <f t="shared" si="20"/>
        <v>35760</v>
      </c>
      <c r="G689" s="12">
        <v>2742</v>
      </c>
      <c r="H689" s="12">
        <f t="shared" si="21"/>
        <v>33018</v>
      </c>
      <c r="I689" s="11">
        <v>45261</v>
      </c>
      <c r="J689" s="10" t="s">
        <v>17</v>
      </c>
      <c r="K689" s="9">
        <v>2023</v>
      </c>
    </row>
    <row r="690" spans="1:11" x14ac:dyDescent="0.35">
      <c r="A690" s="14" t="s">
        <v>7</v>
      </c>
      <c r="B690" s="10" t="s">
        <v>6</v>
      </c>
      <c r="C690" s="10" t="s">
        <v>1</v>
      </c>
      <c r="D690" s="12">
        <v>4068</v>
      </c>
      <c r="E690" s="13">
        <v>20</v>
      </c>
      <c r="F690" s="12">
        <f t="shared" si="20"/>
        <v>81360</v>
      </c>
      <c r="G690" s="12">
        <v>8655</v>
      </c>
      <c r="H690" s="12">
        <f t="shared" si="21"/>
        <v>72705</v>
      </c>
      <c r="I690" s="11">
        <v>45108</v>
      </c>
      <c r="J690" s="10" t="s">
        <v>20</v>
      </c>
      <c r="K690" s="9">
        <v>2023</v>
      </c>
    </row>
    <row r="691" spans="1:11" x14ac:dyDescent="0.35">
      <c r="A691" s="14" t="s">
        <v>19</v>
      </c>
      <c r="B691" s="10" t="s">
        <v>6</v>
      </c>
      <c r="C691" s="10" t="s">
        <v>1</v>
      </c>
      <c r="D691" s="12">
        <v>2105</v>
      </c>
      <c r="E691" s="13">
        <v>15</v>
      </c>
      <c r="F691" s="12">
        <f t="shared" si="20"/>
        <v>31575</v>
      </c>
      <c r="G691" s="12">
        <v>4920</v>
      </c>
      <c r="H691" s="12">
        <f t="shared" si="21"/>
        <v>26655</v>
      </c>
      <c r="I691" s="11">
        <v>45108</v>
      </c>
      <c r="J691" s="10" t="s">
        <v>20</v>
      </c>
      <c r="K691" s="9">
        <v>2023</v>
      </c>
    </row>
    <row r="692" spans="1:11" x14ac:dyDescent="0.35">
      <c r="A692" s="14" t="s">
        <v>3</v>
      </c>
      <c r="B692" s="10" t="s">
        <v>2</v>
      </c>
      <c r="C692" s="10" t="s">
        <v>1</v>
      </c>
      <c r="D692" s="12">
        <v>1647</v>
      </c>
      <c r="E692" s="13">
        <v>20</v>
      </c>
      <c r="F692" s="12">
        <f t="shared" si="20"/>
        <v>32940</v>
      </c>
      <c r="G692" s="12">
        <v>2670</v>
      </c>
      <c r="H692" s="12">
        <f t="shared" si="21"/>
        <v>30270</v>
      </c>
      <c r="I692" s="11">
        <v>44835</v>
      </c>
      <c r="J692" s="10" t="s">
        <v>12</v>
      </c>
      <c r="K692" s="9">
        <v>2022</v>
      </c>
    </row>
    <row r="693" spans="1:11" x14ac:dyDescent="0.35">
      <c r="A693" s="14" t="s">
        <v>19</v>
      </c>
      <c r="B693" s="10" t="s">
        <v>6</v>
      </c>
      <c r="C693" s="10" t="s">
        <v>1</v>
      </c>
      <c r="D693" s="12">
        <v>235</v>
      </c>
      <c r="E693" s="13">
        <v>15</v>
      </c>
      <c r="F693" s="12">
        <f t="shared" si="20"/>
        <v>3525</v>
      </c>
      <c r="G693" s="12">
        <v>11750</v>
      </c>
      <c r="H693" s="12">
        <f t="shared" si="21"/>
        <v>-8225</v>
      </c>
      <c r="I693" s="11">
        <v>45200</v>
      </c>
      <c r="J693" s="10" t="s">
        <v>12</v>
      </c>
      <c r="K693" s="9">
        <v>2023</v>
      </c>
    </row>
    <row r="694" spans="1:11" x14ac:dyDescent="0.35">
      <c r="A694" s="14" t="s">
        <v>7</v>
      </c>
      <c r="B694" s="10" t="s">
        <v>6</v>
      </c>
      <c r="C694" s="10" t="s">
        <v>1</v>
      </c>
      <c r="D694" s="12">
        <v>3617</v>
      </c>
      <c r="E694" s="13">
        <v>125</v>
      </c>
      <c r="F694" s="12">
        <f t="shared" si="20"/>
        <v>452125</v>
      </c>
      <c r="G694" s="12">
        <v>354480</v>
      </c>
      <c r="H694" s="12">
        <f t="shared" si="21"/>
        <v>97645</v>
      </c>
      <c r="I694" s="11">
        <v>44866</v>
      </c>
      <c r="J694" s="10" t="s">
        <v>18</v>
      </c>
      <c r="K694" s="9">
        <v>2022</v>
      </c>
    </row>
    <row r="695" spans="1:11" x14ac:dyDescent="0.35">
      <c r="A695" s="14" t="s">
        <v>19</v>
      </c>
      <c r="B695" s="10" t="s">
        <v>6</v>
      </c>
      <c r="C695" s="10" t="s">
        <v>1</v>
      </c>
      <c r="D695" s="12">
        <v>2106</v>
      </c>
      <c r="E695" s="13">
        <v>125</v>
      </c>
      <c r="F695" s="12">
        <f t="shared" si="20"/>
        <v>263250</v>
      </c>
      <c r="G695" s="12">
        <v>66240</v>
      </c>
      <c r="H695" s="12">
        <f t="shared" si="21"/>
        <v>197010</v>
      </c>
      <c r="I695" s="11">
        <v>45231</v>
      </c>
      <c r="J695" s="10" t="s">
        <v>18</v>
      </c>
      <c r="K695" s="9">
        <v>2023</v>
      </c>
    </row>
    <row r="696" spans="1:11" x14ac:dyDescent="0.35">
      <c r="A696" s="14" t="s">
        <v>16</v>
      </c>
      <c r="B696" s="10" t="s">
        <v>15</v>
      </c>
      <c r="C696" s="10" t="s">
        <v>1</v>
      </c>
      <c r="D696" s="12">
        <v>2351</v>
      </c>
      <c r="E696" s="13">
        <v>20</v>
      </c>
      <c r="F696" s="12">
        <f t="shared" si="20"/>
        <v>47020</v>
      </c>
      <c r="G696" s="12">
        <v>2930</v>
      </c>
      <c r="H696" s="12">
        <f t="shared" si="21"/>
        <v>44090</v>
      </c>
      <c r="I696" s="11">
        <v>45261</v>
      </c>
      <c r="J696" s="10" t="s">
        <v>17</v>
      </c>
      <c r="K696" s="9">
        <v>2023</v>
      </c>
    </row>
    <row r="697" spans="1:11" x14ac:dyDescent="0.35">
      <c r="A697" s="14" t="s">
        <v>16</v>
      </c>
      <c r="B697" s="10" t="s">
        <v>15</v>
      </c>
      <c r="C697" s="10" t="s">
        <v>13</v>
      </c>
      <c r="D697" s="12">
        <v>1897</v>
      </c>
      <c r="E697" s="13">
        <v>300</v>
      </c>
      <c r="F697" s="12">
        <f t="shared" si="20"/>
        <v>569100</v>
      </c>
      <c r="G697" s="12">
        <v>618750</v>
      </c>
      <c r="H697" s="12">
        <f t="shared" si="21"/>
        <v>-49650</v>
      </c>
      <c r="I697" s="11">
        <v>44986</v>
      </c>
      <c r="J697" s="10" t="s">
        <v>14</v>
      </c>
      <c r="K697" s="9">
        <v>2023</v>
      </c>
    </row>
    <row r="698" spans="1:11" x14ac:dyDescent="0.35">
      <c r="A698" s="14" t="s">
        <v>11</v>
      </c>
      <c r="B698" s="10" t="s">
        <v>10</v>
      </c>
      <c r="C698" s="10" t="s">
        <v>13</v>
      </c>
      <c r="D698" s="12">
        <v>647</v>
      </c>
      <c r="E698" s="13">
        <v>300</v>
      </c>
      <c r="F698" s="12">
        <f t="shared" si="20"/>
        <v>194100</v>
      </c>
      <c r="G698" s="12">
        <v>136500</v>
      </c>
      <c r="H698" s="12">
        <f t="shared" si="21"/>
        <v>57600</v>
      </c>
      <c r="I698" s="11">
        <v>45200</v>
      </c>
      <c r="J698" s="10" t="s">
        <v>12</v>
      </c>
      <c r="K698" s="9">
        <v>2023</v>
      </c>
    </row>
    <row r="699" spans="1:11" x14ac:dyDescent="0.35">
      <c r="A699" s="14" t="s">
        <v>11</v>
      </c>
      <c r="B699" s="10" t="s">
        <v>10</v>
      </c>
      <c r="C699" s="10" t="s">
        <v>9</v>
      </c>
      <c r="D699" s="12">
        <v>3621</v>
      </c>
      <c r="E699" s="13">
        <v>7</v>
      </c>
      <c r="F699" s="12">
        <f t="shared" si="20"/>
        <v>25347</v>
      </c>
      <c r="G699" s="12">
        <v>6840</v>
      </c>
      <c r="H699" s="12">
        <f t="shared" si="21"/>
        <v>18507</v>
      </c>
      <c r="I699" s="11">
        <v>44958</v>
      </c>
      <c r="J699" s="10" t="s">
        <v>8</v>
      </c>
      <c r="K699" s="9">
        <v>2023</v>
      </c>
    </row>
    <row r="700" spans="1:11" x14ac:dyDescent="0.35">
      <c r="A700" s="14" t="s">
        <v>7</v>
      </c>
      <c r="B700" s="10" t="s">
        <v>6</v>
      </c>
      <c r="C700" s="10" t="s">
        <v>5</v>
      </c>
      <c r="D700" s="12">
        <v>3221</v>
      </c>
      <c r="E700" s="13">
        <v>7</v>
      </c>
      <c r="F700" s="12">
        <f t="shared" si="20"/>
        <v>22547</v>
      </c>
      <c r="G700" s="12">
        <v>3615</v>
      </c>
      <c r="H700" s="12">
        <f t="shared" si="21"/>
        <v>18932</v>
      </c>
      <c r="I700" s="11">
        <v>45017</v>
      </c>
      <c r="J700" s="10" t="s">
        <v>4</v>
      </c>
      <c r="K700" s="9">
        <v>2023</v>
      </c>
    </row>
    <row r="701" spans="1:11" x14ac:dyDescent="0.35">
      <c r="A701" s="8" t="s">
        <v>3</v>
      </c>
      <c r="B701" s="4" t="s">
        <v>2</v>
      </c>
      <c r="C701" s="4" t="s">
        <v>1</v>
      </c>
      <c r="D701" s="6">
        <v>493</v>
      </c>
      <c r="E701" s="7">
        <v>12</v>
      </c>
      <c r="F701" s="6">
        <f t="shared" si="20"/>
        <v>5916</v>
      </c>
      <c r="G701" s="6">
        <v>5418</v>
      </c>
      <c r="H701" s="6">
        <f t="shared" si="21"/>
        <v>498</v>
      </c>
      <c r="I701" s="5">
        <v>45047</v>
      </c>
      <c r="J701" s="4" t="s">
        <v>0</v>
      </c>
      <c r="K701" s="3">
        <v>2023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E0A69-5EA0-43F7-954A-F9A13FA1ECEF}">
  <dimension ref="A3:D4"/>
  <sheetViews>
    <sheetView topLeftCell="A2" zoomScale="104" workbookViewId="0">
      <selection activeCell="A4" sqref="A4"/>
    </sheetView>
  </sheetViews>
  <sheetFormatPr defaultRowHeight="14" x14ac:dyDescent="0.3"/>
  <cols>
    <col min="1" max="1" width="18.4140625" bestFit="1" customWidth="1"/>
    <col min="2" max="2" width="13" bestFit="1" customWidth="1"/>
    <col min="3" max="3" width="16.9140625" bestFit="1" customWidth="1"/>
    <col min="4" max="4" width="12.4140625" bestFit="1" customWidth="1"/>
  </cols>
  <sheetData>
    <row r="3" spans="1:4" x14ac:dyDescent="0.3">
      <c r="A3" t="s">
        <v>43</v>
      </c>
      <c r="B3" t="s">
        <v>44</v>
      </c>
      <c r="C3" t="s">
        <v>41</v>
      </c>
      <c r="D3" t="s">
        <v>45</v>
      </c>
    </row>
    <row r="4" spans="1:4" x14ac:dyDescent="0.3">
      <c r="A4">
        <v>198485517</v>
      </c>
      <c r="B4">
        <v>101832648</v>
      </c>
      <c r="C4">
        <v>1666095</v>
      </c>
      <c r="D4">
        <v>96652869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04203-6791-4179-A3B0-4D2750E8C277}">
  <dimension ref="A1:L701"/>
  <sheetViews>
    <sheetView topLeftCell="C5" zoomScale="138" workbookViewId="0">
      <selection activeCell="L1" sqref="L1"/>
    </sheetView>
  </sheetViews>
  <sheetFormatPr defaultRowHeight="14" x14ac:dyDescent="0.3"/>
  <cols>
    <col min="1" max="1" width="9.58203125" bestFit="1" customWidth="1"/>
    <col min="2" max="2" width="12.58203125" bestFit="1" customWidth="1"/>
    <col min="3" max="3" width="9.6640625" bestFit="1" customWidth="1"/>
    <col min="4" max="4" width="11.58203125" bestFit="1" customWidth="1"/>
    <col min="5" max="5" width="11.08203125" bestFit="1" customWidth="1"/>
    <col min="6" max="6" width="13.1640625" bestFit="1" customWidth="1"/>
    <col min="7" max="7" width="8.25" bestFit="1" customWidth="1"/>
    <col min="8" max="8" width="8.33203125" bestFit="1" customWidth="1"/>
    <col min="9" max="9" width="20.1640625" customWidth="1"/>
    <col min="10" max="10" width="13.5" bestFit="1" customWidth="1"/>
    <col min="11" max="11" width="6.75" bestFit="1" customWidth="1"/>
    <col min="12" max="12" width="12.6640625" customWidth="1"/>
  </cols>
  <sheetData>
    <row r="1" spans="1:12" x14ac:dyDescent="0.3">
      <c r="A1" t="s">
        <v>37</v>
      </c>
      <c r="B1" t="s">
        <v>36</v>
      </c>
      <c r="C1" t="s">
        <v>35</v>
      </c>
      <c r="D1" t="s">
        <v>34</v>
      </c>
      <c r="E1" t="s">
        <v>33</v>
      </c>
      <c r="F1" t="s">
        <v>32</v>
      </c>
      <c r="G1" t="s">
        <v>31</v>
      </c>
      <c r="H1" t="s">
        <v>30</v>
      </c>
      <c r="I1" t="s">
        <v>29</v>
      </c>
      <c r="J1" t="s">
        <v>28</v>
      </c>
      <c r="K1" t="s">
        <v>27</v>
      </c>
      <c r="L1" t="s">
        <v>50</v>
      </c>
    </row>
    <row r="2" spans="1:12" x14ac:dyDescent="0.3">
      <c r="A2" t="s">
        <v>7</v>
      </c>
      <c r="B2" t="s">
        <v>6</v>
      </c>
      <c r="C2" t="s">
        <v>24</v>
      </c>
      <c r="D2">
        <v>1372</v>
      </c>
      <c r="E2">
        <v>20</v>
      </c>
      <c r="F2">
        <v>27440</v>
      </c>
      <c r="G2">
        <v>16185</v>
      </c>
      <c r="H2">
        <v>11255</v>
      </c>
      <c r="I2" s="19">
        <v>44927</v>
      </c>
      <c r="J2" t="s">
        <v>25</v>
      </c>
      <c r="K2">
        <v>2023</v>
      </c>
    </row>
    <row r="3" spans="1:12" x14ac:dyDescent="0.3">
      <c r="A3" t="s">
        <v>19</v>
      </c>
      <c r="B3" t="s">
        <v>6</v>
      </c>
      <c r="C3" t="s">
        <v>24</v>
      </c>
      <c r="D3">
        <v>2762</v>
      </c>
      <c r="E3">
        <v>20</v>
      </c>
      <c r="F3">
        <v>55240</v>
      </c>
      <c r="G3">
        <v>13210</v>
      </c>
      <c r="H3">
        <v>42030</v>
      </c>
      <c r="I3" s="19">
        <v>44927</v>
      </c>
      <c r="J3" t="s">
        <v>25</v>
      </c>
      <c r="K3">
        <v>2023</v>
      </c>
    </row>
    <row r="4" spans="1:12" x14ac:dyDescent="0.3">
      <c r="A4" t="s">
        <v>16</v>
      </c>
      <c r="B4" t="s">
        <v>15</v>
      </c>
      <c r="C4" t="s">
        <v>24</v>
      </c>
      <c r="D4">
        <v>1464</v>
      </c>
      <c r="E4">
        <v>15</v>
      </c>
      <c r="F4">
        <v>21960</v>
      </c>
      <c r="G4">
        <v>21780</v>
      </c>
      <c r="H4">
        <v>180</v>
      </c>
      <c r="I4" s="19">
        <v>45078</v>
      </c>
      <c r="J4" t="s">
        <v>26</v>
      </c>
      <c r="K4">
        <v>2023</v>
      </c>
    </row>
    <row r="5" spans="1:12" x14ac:dyDescent="0.3">
      <c r="A5" t="s">
        <v>19</v>
      </c>
      <c r="B5" t="s">
        <v>6</v>
      </c>
      <c r="C5" t="s">
        <v>24</v>
      </c>
      <c r="D5">
        <v>719</v>
      </c>
      <c r="E5">
        <v>15</v>
      </c>
      <c r="F5">
        <v>10785</v>
      </c>
      <c r="G5">
        <v>8880</v>
      </c>
      <c r="H5">
        <v>1905</v>
      </c>
      <c r="I5" s="19">
        <v>45078</v>
      </c>
      <c r="J5" t="s">
        <v>26</v>
      </c>
      <c r="K5">
        <v>2023</v>
      </c>
    </row>
    <row r="6" spans="1:12" x14ac:dyDescent="0.3">
      <c r="A6" t="s">
        <v>11</v>
      </c>
      <c r="B6" t="s">
        <v>10</v>
      </c>
      <c r="C6" t="s">
        <v>24</v>
      </c>
      <c r="D6">
        <v>3576</v>
      </c>
      <c r="E6">
        <v>15</v>
      </c>
      <c r="F6">
        <v>53640</v>
      </c>
      <c r="G6">
        <v>24700</v>
      </c>
      <c r="H6">
        <v>28940</v>
      </c>
      <c r="I6" s="19">
        <v>45078</v>
      </c>
      <c r="J6" t="s">
        <v>26</v>
      </c>
      <c r="K6">
        <v>2023</v>
      </c>
    </row>
    <row r="7" spans="1:12" x14ac:dyDescent="0.3">
      <c r="A7" t="s">
        <v>19</v>
      </c>
      <c r="B7" t="s">
        <v>6</v>
      </c>
      <c r="C7" t="s">
        <v>24</v>
      </c>
      <c r="D7">
        <v>4422</v>
      </c>
      <c r="E7">
        <v>350</v>
      </c>
      <c r="F7">
        <v>1547700</v>
      </c>
      <c r="G7">
        <v>393380</v>
      </c>
      <c r="H7">
        <v>1154320</v>
      </c>
      <c r="I7" s="19">
        <v>45261</v>
      </c>
      <c r="J7" t="s">
        <v>17</v>
      </c>
      <c r="K7">
        <v>2023</v>
      </c>
    </row>
    <row r="8" spans="1:12" x14ac:dyDescent="0.3">
      <c r="A8" t="s">
        <v>19</v>
      </c>
      <c r="B8" t="s">
        <v>6</v>
      </c>
      <c r="C8" t="s">
        <v>9</v>
      </c>
      <c r="D8">
        <v>3649</v>
      </c>
      <c r="E8">
        <v>15</v>
      </c>
      <c r="F8">
        <v>54735</v>
      </c>
      <c r="G8">
        <v>9210</v>
      </c>
      <c r="H8">
        <v>45525</v>
      </c>
      <c r="I8" s="19">
        <v>44986</v>
      </c>
      <c r="J8" t="s">
        <v>14</v>
      </c>
      <c r="K8">
        <v>2023</v>
      </c>
    </row>
    <row r="9" spans="1:12" x14ac:dyDescent="0.3">
      <c r="A9" t="s">
        <v>7</v>
      </c>
      <c r="B9" t="s">
        <v>6</v>
      </c>
      <c r="C9" t="s">
        <v>9</v>
      </c>
      <c r="D9">
        <v>4172</v>
      </c>
      <c r="E9">
        <v>12</v>
      </c>
      <c r="F9">
        <v>50064</v>
      </c>
      <c r="G9">
        <v>7554</v>
      </c>
      <c r="H9">
        <v>42510</v>
      </c>
      <c r="I9" s="19">
        <v>45078</v>
      </c>
      <c r="J9" t="s">
        <v>26</v>
      </c>
      <c r="K9">
        <v>2023</v>
      </c>
    </row>
    <row r="10" spans="1:12" x14ac:dyDescent="0.3">
      <c r="A10" t="s">
        <v>16</v>
      </c>
      <c r="B10" t="s">
        <v>15</v>
      </c>
      <c r="C10" t="s">
        <v>9</v>
      </c>
      <c r="D10">
        <v>3841</v>
      </c>
      <c r="E10">
        <v>20</v>
      </c>
      <c r="F10">
        <v>76820</v>
      </c>
      <c r="G10">
        <v>18990</v>
      </c>
      <c r="H10">
        <v>57830</v>
      </c>
      <c r="I10" s="19">
        <v>45078</v>
      </c>
      <c r="J10" t="s">
        <v>26</v>
      </c>
      <c r="K10">
        <v>2023</v>
      </c>
    </row>
    <row r="11" spans="1:12" x14ac:dyDescent="0.3">
      <c r="A11" t="s">
        <v>19</v>
      </c>
      <c r="B11" t="s">
        <v>6</v>
      </c>
      <c r="C11" t="s">
        <v>9</v>
      </c>
      <c r="D11">
        <v>3726</v>
      </c>
      <c r="E11">
        <v>12</v>
      </c>
      <c r="F11">
        <v>44712</v>
      </c>
      <c r="G11">
        <v>4635</v>
      </c>
      <c r="H11">
        <v>40077</v>
      </c>
      <c r="I11" s="19">
        <v>45078</v>
      </c>
      <c r="J11" t="s">
        <v>26</v>
      </c>
      <c r="K11">
        <v>2023</v>
      </c>
    </row>
    <row r="12" spans="1:12" x14ac:dyDescent="0.3">
      <c r="A12" t="s">
        <v>11</v>
      </c>
      <c r="B12" t="s">
        <v>10</v>
      </c>
      <c r="C12" t="s">
        <v>9</v>
      </c>
      <c r="D12">
        <v>2625</v>
      </c>
      <c r="E12">
        <v>15</v>
      </c>
      <c r="F12">
        <v>39375</v>
      </c>
      <c r="G12">
        <v>24700</v>
      </c>
      <c r="H12">
        <v>14675</v>
      </c>
      <c r="I12" s="19">
        <v>45078</v>
      </c>
      <c r="J12" t="s">
        <v>26</v>
      </c>
      <c r="K12">
        <v>2023</v>
      </c>
    </row>
    <row r="13" spans="1:12" x14ac:dyDescent="0.3">
      <c r="A13" t="s">
        <v>7</v>
      </c>
      <c r="B13" t="s">
        <v>6</v>
      </c>
      <c r="C13" t="s">
        <v>9</v>
      </c>
      <c r="D13">
        <v>1958</v>
      </c>
      <c r="E13">
        <v>125</v>
      </c>
      <c r="F13">
        <v>244750</v>
      </c>
      <c r="G13">
        <v>319860</v>
      </c>
      <c r="H13">
        <v>-75110</v>
      </c>
      <c r="I13" s="19">
        <v>45108</v>
      </c>
      <c r="J13" t="s">
        <v>20</v>
      </c>
      <c r="K13">
        <v>2023</v>
      </c>
    </row>
    <row r="14" spans="1:12" x14ac:dyDescent="0.3">
      <c r="A14" t="s">
        <v>11</v>
      </c>
      <c r="B14" t="s">
        <v>10</v>
      </c>
      <c r="C14" t="s">
        <v>9</v>
      </c>
      <c r="D14">
        <v>3271</v>
      </c>
      <c r="E14">
        <v>300</v>
      </c>
      <c r="F14">
        <v>981300</v>
      </c>
      <c r="G14">
        <v>239500</v>
      </c>
      <c r="H14">
        <v>741800</v>
      </c>
      <c r="I14" s="19">
        <v>45139</v>
      </c>
      <c r="J14" t="s">
        <v>23</v>
      </c>
      <c r="K14">
        <v>2023</v>
      </c>
    </row>
    <row r="15" spans="1:12" x14ac:dyDescent="0.3">
      <c r="A15" t="s">
        <v>19</v>
      </c>
      <c r="B15" t="s">
        <v>6</v>
      </c>
      <c r="C15" t="s">
        <v>9</v>
      </c>
      <c r="D15">
        <v>2091</v>
      </c>
      <c r="E15">
        <v>7</v>
      </c>
      <c r="F15">
        <v>14637</v>
      </c>
      <c r="G15">
        <v>10730</v>
      </c>
      <c r="H15">
        <v>3907</v>
      </c>
      <c r="I15" s="19">
        <v>45170</v>
      </c>
      <c r="J15" t="s">
        <v>22</v>
      </c>
      <c r="K15">
        <v>2023</v>
      </c>
    </row>
    <row r="16" spans="1:12" x14ac:dyDescent="0.3">
      <c r="A16" t="s">
        <v>7</v>
      </c>
      <c r="B16" t="s">
        <v>6</v>
      </c>
      <c r="C16" t="s">
        <v>9</v>
      </c>
      <c r="D16">
        <v>2530</v>
      </c>
      <c r="E16">
        <v>125</v>
      </c>
      <c r="F16">
        <v>316250</v>
      </c>
      <c r="G16">
        <v>41400</v>
      </c>
      <c r="H16">
        <v>274850</v>
      </c>
      <c r="I16" s="19">
        <v>44835</v>
      </c>
      <c r="J16" t="s">
        <v>12</v>
      </c>
      <c r="K16">
        <v>2022</v>
      </c>
    </row>
    <row r="17" spans="1:11" x14ac:dyDescent="0.3">
      <c r="A17" t="s">
        <v>3</v>
      </c>
      <c r="B17" t="s">
        <v>2</v>
      </c>
      <c r="C17" t="s">
        <v>9</v>
      </c>
      <c r="D17">
        <v>2825</v>
      </c>
      <c r="E17">
        <v>15</v>
      </c>
      <c r="F17">
        <v>42375</v>
      </c>
      <c r="G17">
        <v>6150</v>
      </c>
      <c r="H17">
        <v>36225</v>
      </c>
      <c r="I17" s="19">
        <v>45261</v>
      </c>
      <c r="J17" t="s">
        <v>17</v>
      </c>
      <c r="K17">
        <v>2023</v>
      </c>
    </row>
    <row r="18" spans="1:11" x14ac:dyDescent="0.3">
      <c r="A18" t="s">
        <v>7</v>
      </c>
      <c r="B18" t="s">
        <v>6</v>
      </c>
      <c r="C18" t="s">
        <v>5</v>
      </c>
      <c r="D18">
        <v>2513</v>
      </c>
      <c r="E18">
        <v>20</v>
      </c>
      <c r="F18">
        <v>50260</v>
      </c>
      <c r="G18">
        <v>2920</v>
      </c>
      <c r="H18">
        <v>47340</v>
      </c>
      <c r="I18" s="19">
        <v>44958</v>
      </c>
      <c r="J18" t="s">
        <v>8</v>
      </c>
      <c r="K18">
        <v>2023</v>
      </c>
    </row>
    <row r="19" spans="1:11" x14ac:dyDescent="0.3">
      <c r="A19" t="s">
        <v>11</v>
      </c>
      <c r="B19" t="s">
        <v>10</v>
      </c>
      <c r="C19" t="s">
        <v>5</v>
      </c>
      <c r="D19">
        <v>883</v>
      </c>
      <c r="E19">
        <v>15</v>
      </c>
      <c r="F19">
        <v>13245</v>
      </c>
      <c r="G19">
        <v>9740</v>
      </c>
      <c r="H19">
        <v>3505</v>
      </c>
      <c r="I19" s="19">
        <v>44958</v>
      </c>
      <c r="J19" t="s">
        <v>8</v>
      </c>
      <c r="K19">
        <v>2023</v>
      </c>
    </row>
    <row r="20" spans="1:11" x14ac:dyDescent="0.3">
      <c r="A20" t="s">
        <v>7</v>
      </c>
      <c r="B20" t="s">
        <v>6</v>
      </c>
      <c r="C20" t="s">
        <v>5</v>
      </c>
      <c r="D20">
        <v>2087</v>
      </c>
      <c r="E20">
        <v>12</v>
      </c>
      <c r="F20">
        <v>25044</v>
      </c>
      <c r="G20">
        <v>7554</v>
      </c>
      <c r="H20">
        <v>17490</v>
      </c>
      <c r="I20" s="19">
        <v>45078</v>
      </c>
      <c r="J20" t="s">
        <v>26</v>
      </c>
      <c r="K20">
        <v>2023</v>
      </c>
    </row>
    <row r="21" spans="1:11" x14ac:dyDescent="0.3">
      <c r="A21" t="s">
        <v>19</v>
      </c>
      <c r="B21" t="s">
        <v>6</v>
      </c>
      <c r="C21" t="s">
        <v>5</v>
      </c>
      <c r="D21">
        <v>2563</v>
      </c>
      <c r="E21">
        <v>350</v>
      </c>
      <c r="F21">
        <v>897050</v>
      </c>
      <c r="G21">
        <v>261560</v>
      </c>
      <c r="H21">
        <v>635490</v>
      </c>
      <c r="I21" s="19">
        <v>45078</v>
      </c>
      <c r="J21" t="s">
        <v>26</v>
      </c>
      <c r="K21">
        <v>2023</v>
      </c>
    </row>
    <row r="22" spans="1:11" x14ac:dyDescent="0.3">
      <c r="A22" t="s">
        <v>19</v>
      </c>
      <c r="B22" t="s">
        <v>6</v>
      </c>
      <c r="C22" t="s">
        <v>5</v>
      </c>
      <c r="D22">
        <v>2846</v>
      </c>
      <c r="E22">
        <v>12</v>
      </c>
      <c r="F22">
        <v>34152</v>
      </c>
      <c r="G22">
        <v>1101</v>
      </c>
      <c r="H22">
        <v>33051</v>
      </c>
      <c r="I22" s="19">
        <v>45108</v>
      </c>
      <c r="J22" t="s">
        <v>20</v>
      </c>
      <c r="K22">
        <v>2023</v>
      </c>
    </row>
    <row r="23" spans="1:11" x14ac:dyDescent="0.3">
      <c r="A23" t="s">
        <v>11</v>
      </c>
      <c r="B23" t="s">
        <v>10</v>
      </c>
      <c r="C23" t="s">
        <v>5</v>
      </c>
      <c r="D23">
        <v>997</v>
      </c>
      <c r="E23">
        <v>7</v>
      </c>
      <c r="F23">
        <v>6979</v>
      </c>
      <c r="G23">
        <v>4415</v>
      </c>
      <c r="H23">
        <v>2564</v>
      </c>
      <c r="I23" s="19">
        <v>45139</v>
      </c>
      <c r="J23" t="s">
        <v>23</v>
      </c>
      <c r="K23">
        <v>2023</v>
      </c>
    </row>
    <row r="24" spans="1:11" x14ac:dyDescent="0.3">
      <c r="A24" t="s">
        <v>16</v>
      </c>
      <c r="B24" t="s">
        <v>15</v>
      </c>
      <c r="C24" t="s">
        <v>5</v>
      </c>
      <c r="D24">
        <v>3421</v>
      </c>
      <c r="E24">
        <v>15</v>
      </c>
      <c r="F24">
        <v>51315</v>
      </c>
      <c r="G24">
        <v>5490</v>
      </c>
      <c r="H24">
        <v>45825</v>
      </c>
      <c r="I24" s="19">
        <v>44805</v>
      </c>
      <c r="J24" t="s">
        <v>22</v>
      </c>
      <c r="K24">
        <v>2022</v>
      </c>
    </row>
    <row r="25" spans="1:11" x14ac:dyDescent="0.3">
      <c r="A25" t="s">
        <v>11</v>
      </c>
      <c r="B25" t="s">
        <v>10</v>
      </c>
      <c r="C25" t="s">
        <v>5</v>
      </c>
      <c r="D25">
        <v>2291</v>
      </c>
      <c r="E25">
        <v>300</v>
      </c>
      <c r="F25">
        <v>687300</v>
      </c>
      <c r="G25">
        <v>197000</v>
      </c>
      <c r="H25">
        <v>490300</v>
      </c>
      <c r="I25" s="19">
        <v>44805</v>
      </c>
      <c r="J25" t="s">
        <v>22</v>
      </c>
      <c r="K25">
        <v>2022</v>
      </c>
    </row>
    <row r="26" spans="1:11" x14ac:dyDescent="0.3">
      <c r="A26" t="s">
        <v>11</v>
      </c>
      <c r="B26" t="s">
        <v>10</v>
      </c>
      <c r="C26" t="s">
        <v>5</v>
      </c>
      <c r="D26">
        <v>2290</v>
      </c>
      <c r="E26">
        <v>15</v>
      </c>
      <c r="F26">
        <v>34350</v>
      </c>
      <c r="G26">
        <v>24720</v>
      </c>
      <c r="H26">
        <v>9630</v>
      </c>
      <c r="I26" s="19">
        <v>45170</v>
      </c>
      <c r="J26" t="s">
        <v>22</v>
      </c>
      <c r="K26">
        <v>2023</v>
      </c>
    </row>
    <row r="27" spans="1:11" x14ac:dyDescent="0.3">
      <c r="A27" t="s">
        <v>3</v>
      </c>
      <c r="B27" t="s">
        <v>2</v>
      </c>
      <c r="C27" t="s">
        <v>5</v>
      </c>
      <c r="D27">
        <v>2133</v>
      </c>
      <c r="E27">
        <v>7</v>
      </c>
      <c r="F27">
        <v>14931</v>
      </c>
      <c r="G27">
        <v>5715</v>
      </c>
      <c r="H27">
        <v>9216</v>
      </c>
      <c r="I27" s="19">
        <v>45200</v>
      </c>
      <c r="J27" t="s">
        <v>12</v>
      </c>
      <c r="K27">
        <v>2023</v>
      </c>
    </row>
    <row r="28" spans="1:11" x14ac:dyDescent="0.3">
      <c r="A28" t="s">
        <v>7</v>
      </c>
      <c r="B28" t="s">
        <v>6</v>
      </c>
      <c r="C28" t="s">
        <v>5</v>
      </c>
      <c r="D28">
        <v>3475</v>
      </c>
      <c r="E28">
        <v>350</v>
      </c>
      <c r="F28">
        <v>1216250</v>
      </c>
      <c r="G28">
        <v>448500</v>
      </c>
      <c r="H28">
        <v>767750</v>
      </c>
      <c r="I28" s="19">
        <v>44866</v>
      </c>
      <c r="J28" t="s">
        <v>18</v>
      </c>
      <c r="K28">
        <v>2022</v>
      </c>
    </row>
    <row r="29" spans="1:11" x14ac:dyDescent="0.3">
      <c r="A29" t="s">
        <v>3</v>
      </c>
      <c r="B29" t="s">
        <v>2</v>
      </c>
      <c r="C29" t="s">
        <v>5</v>
      </c>
      <c r="D29">
        <v>3686</v>
      </c>
      <c r="E29">
        <v>12</v>
      </c>
      <c r="F29">
        <v>44232</v>
      </c>
      <c r="G29">
        <v>2736</v>
      </c>
      <c r="H29">
        <v>41496</v>
      </c>
      <c r="I29" s="19">
        <v>44866</v>
      </c>
      <c r="J29" t="s">
        <v>18</v>
      </c>
      <c r="K29">
        <v>2022</v>
      </c>
    </row>
    <row r="30" spans="1:11" x14ac:dyDescent="0.3">
      <c r="A30" t="s">
        <v>7</v>
      </c>
      <c r="B30" t="s">
        <v>6</v>
      </c>
      <c r="C30" t="s">
        <v>5</v>
      </c>
      <c r="D30">
        <v>3319</v>
      </c>
      <c r="E30">
        <v>15</v>
      </c>
      <c r="F30">
        <v>49785</v>
      </c>
      <c r="G30">
        <v>21520</v>
      </c>
      <c r="H30">
        <v>28265</v>
      </c>
      <c r="I30" s="19">
        <v>44896</v>
      </c>
      <c r="J30" t="s">
        <v>17</v>
      </c>
      <c r="K30">
        <v>2022</v>
      </c>
    </row>
    <row r="31" spans="1:11" x14ac:dyDescent="0.3">
      <c r="A31" t="s">
        <v>7</v>
      </c>
      <c r="B31" t="s">
        <v>6</v>
      </c>
      <c r="C31" t="s">
        <v>5</v>
      </c>
      <c r="D31">
        <v>3617</v>
      </c>
      <c r="E31">
        <v>20</v>
      </c>
      <c r="F31">
        <v>72340</v>
      </c>
      <c r="G31">
        <v>18170</v>
      </c>
      <c r="H31">
        <v>54170</v>
      </c>
      <c r="I31" s="19">
        <v>45261</v>
      </c>
      <c r="J31" t="s">
        <v>17</v>
      </c>
      <c r="K31">
        <v>2023</v>
      </c>
    </row>
    <row r="32" spans="1:11" x14ac:dyDescent="0.3">
      <c r="A32" t="s">
        <v>19</v>
      </c>
      <c r="B32" t="s">
        <v>6</v>
      </c>
      <c r="C32" t="s">
        <v>5</v>
      </c>
      <c r="D32">
        <v>1266</v>
      </c>
      <c r="E32">
        <v>350</v>
      </c>
      <c r="F32">
        <v>443100</v>
      </c>
      <c r="G32">
        <v>393380</v>
      </c>
      <c r="H32">
        <v>49720</v>
      </c>
      <c r="I32" s="19">
        <v>45261</v>
      </c>
      <c r="J32" t="s">
        <v>17</v>
      </c>
      <c r="K32">
        <v>2023</v>
      </c>
    </row>
    <row r="33" spans="1:11" x14ac:dyDescent="0.3">
      <c r="A33" t="s">
        <v>11</v>
      </c>
      <c r="B33" t="s">
        <v>10</v>
      </c>
      <c r="C33" t="s">
        <v>21</v>
      </c>
      <c r="D33">
        <v>894</v>
      </c>
      <c r="E33">
        <v>7</v>
      </c>
      <c r="F33">
        <v>6258</v>
      </c>
      <c r="G33">
        <v>7465</v>
      </c>
      <c r="H33">
        <v>-1207</v>
      </c>
      <c r="I33" s="19">
        <v>44927</v>
      </c>
      <c r="J33" t="s">
        <v>25</v>
      </c>
      <c r="K33">
        <v>2023</v>
      </c>
    </row>
    <row r="34" spans="1:11" x14ac:dyDescent="0.3">
      <c r="A34" t="s">
        <v>16</v>
      </c>
      <c r="B34" t="s">
        <v>15</v>
      </c>
      <c r="C34" t="s">
        <v>21</v>
      </c>
      <c r="D34">
        <v>2725</v>
      </c>
      <c r="E34">
        <v>125</v>
      </c>
      <c r="F34">
        <v>340625</v>
      </c>
      <c r="G34">
        <v>216480</v>
      </c>
      <c r="H34">
        <v>124145</v>
      </c>
      <c r="I34" s="19">
        <v>44958</v>
      </c>
      <c r="J34" t="s">
        <v>8</v>
      </c>
      <c r="K34">
        <v>2023</v>
      </c>
    </row>
    <row r="35" spans="1:11" x14ac:dyDescent="0.3">
      <c r="A35" t="s">
        <v>19</v>
      </c>
      <c r="B35" t="s">
        <v>6</v>
      </c>
      <c r="C35" t="s">
        <v>21</v>
      </c>
      <c r="D35">
        <v>3061</v>
      </c>
      <c r="E35">
        <v>12</v>
      </c>
      <c r="F35">
        <v>36732</v>
      </c>
      <c r="G35">
        <v>6483</v>
      </c>
      <c r="H35">
        <v>30249</v>
      </c>
      <c r="I35" s="19">
        <v>44986</v>
      </c>
      <c r="J35" t="s">
        <v>14</v>
      </c>
      <c r="K35">
        <v>2023</v>
      </c>
    </row>
    <row r="36" spans="1:11" x14ac:dyDescent="0.3">
      <c r="A36" t="s">
        <v>19</v>
      </c>
      <c r="B36" t="s">
        <v>6</v>
      </c>
      <c r="C36" t="s">
        <v>21</v>
      </c>
      <c r="D36">
        <v>3958</v>
      </c>
      <c r="E36">
        <v>350</v>
      </c>
      <c r="F36">
        <v>1385300</v>
      </c>
      <c r="G36">
        <v>261560</v>
      </c>
      <c r="H36">
        <v>1123740</v>
      </c>
      <c r="I36" s="19">
        <v>45078</v>
      </c>
      <c r="J36" t="s">
        <v>26</v>
      </c>
      <c r="K36">
        <v>2023</v>
      </c>
    </row>
    <row r="37" spans="1:11" x14ac:dyDescent="0.3">
      <c r="A37" t="s">
        <v>19</v>
      </c>
      <c r="B37" t="s">
        <v>6</v>
      </c>
      <c r="C37" t="s">
        <v>21</v>
      </c>
      <c r="D37">
        <v>3920</v>
      </c>
      <c r="E37">
        <v>12</v>
      </c>
      <c r="F37">
        <v>47040</v>
      </c>
      <c r="G37">
        <v>4635</v>
      </c>
      <c r="H37">
        <v>42405</v>
      </c>
      <c r="I37" s="19">
        <v>45078</v>
      </c>
      <c r="J37" t="s">
        <v>26</v>
      </c>
      <c r="K37">
        <v>2023</v>
      </c>
    </row>
    <row r="38" spans="1:11" x14ac:dyDescent="0.3">
      <c r="A38" t="s">
        <v>3</v>
      </c>
      <c r="B38" t="s">
        <v>2</v>
      </c>
      <c r="C38" t="s">
        <v>21</v>
      </c>
      <c r="D38">
        <v>3381</v>
      </c>
      <c r="E38">
        <v>125</v>
      </c>
      <c r="F38">
        <v>422625</v>
      </c>
      <c r="G38">
        <v>338520</v>
      </c>
      <c r="H38">
        <v>84105</v>
      </c>
      <c r="I38" s="19">
        <v>45139</v>
      </c>
      <c r="J38" t="s">
        <v>23</v>
      </c>
      <c r="K38">
        <v>2023</v>
      </c>
    </row>
    <row r="39" spans="1:11" x14ac:dyDescent="0.3">
      <c r="A39" t="s">
        <v>7</v>
      </c>
      <c r="B39" t="s">
        <v>6</v>
      </c>
      <c r="C39" t="s">
        <v>21</v>
      </c>
      <c r="D39">
        <v>1094</v>
      </c>
      <c r="E39">
        <v>125</v>
      </c>
      <c r="F39">
        <v>136750</v>
      </c>
      <c r="G39">
        <v>41400</v>
      </c>
      <c r="H39">
        <v>95350</v>
      </c>
      <c r="I39" s="19">
        <v>44835</v>
      </c>
      <c r="J39" t="s">
        <v>12</v>
      </c>
      <c r="K39">
        <v>2022</v>
      </c>
    </row>
    <row r="40" spans="1:11" x14ac:dyDescent="0.3">
      <c r="A40" t="s">
        <v>7</v>
      </c>
      <c r="B40" t="s">
        <v>6</v>
      </c>
      <c r="C40" t="s">
        <v>1</v>
      </c>
      <c r="D40">
        <v>4307</v>
      </c>
      <c r="E40">
        <v>300</v>
      </c>
      <c r="F40">
        <v>1292100</v>
      </c>
      <c r="G40">
        <v>500250</v>
      </c>
      <c r="H40">
        <v>791850</v>
      </c>
      <c r="I40" s="19">
        <v>44958</v>
      </c>
      <c r="J40" t="s">
        <v>8</v>
      </c>
      <c r="K40">
        <v>2023</v>
      </c>
    </row>
    <row r="41" spans="1:11" x14ac:dyDescent="0.3">
      <c r="A41" t="s">
        <v>19</v>
      </c>
      <c r="B41" t="s">
        <v>6</v>
      </c>
      <c r="C41" t="s">
        <v>1</v>
      </c>
      <c r="D41">
        <v>878</v>
      </c>
      <c r="E41">
        <v>12</v>
      </c>
      <c r="F41">
        <v>10536</v>
      </c>
      <c r="G41">
        <v>8514</v>
      </c>
      <c r="H41">
        <v>2022</v>
      </c>
      <c r="I41" s="19">
        <v>45017</v>
      </c>
      <c r="J41" t="s">
        <v>4</v>
      </c>
      <c r="K41">
        <v>2023</v>
      </c>
    </row>
    <row r="42" spans="1:11" x14ac:dyDescent="0.3">
      <c r="A42" t="s">
        <v>16</v>
      </c>
      <c r="B42" t="s">
        <v>15</v>
      </c>
      <c r="C42" t="s">
        <v>1</v>
      </c>
      <c r="D42">
        <v>496</v>
      </c>
      <c r="E42">
        <v>15</v>
      </c>
      <c r="F42">
        <v>7440</v>
      </c>
      <c r="G42">
        <v>21780</v>
      </c>
      <c r="H42">
        <v>-14340</v>
      </c>
      <c r="I42" s="19">
        <v>45078</v>
      </c>
      <c r="J42" t="s">
        <v>26</v>
      </c>
      <c r="K42">
        <v>2023</v>
      </c>
    </row>
    <row r="43" spans="1:11" x14ac:dyDescent="0.3">
      <c r="A43" t="s">
        <v>19</v>
      </c>
      <c r="B43" t="s">
        <v>6</v>
      </c>
      <c r="C43" t="s">
        <v>1</v>
      </c>
      <c r="D43">
        <v>3367</v>
      </c>
      <c r="E43">
        <v>15</v>
      </c>
      <c r="F43">
        <v>50505</v>
      </c>
      <c r="G43">
        <v>8880</v>
      </c>
      <c r="H43">
        <v>41625</v>
      </c>
      <c r="I43" s="19">
        <v>45078</v>
      </c>
      <c r="J43" t="s">
        <v>26</v>
      </c>
      <c r="K43">
        <v>2023</v>
      </c>
    </row>
    <row r="44" spans="1:11" x14ac:dyDescent="0.3">
      <c r="A44" t="s">
        <v>16</v>
      </c>
      <c r="B44" t="s">
        <v>15</v>
      </c>
      <c r="C44" t="s">
        <v>1</v>
      </c>
      <c r="D44">
        <v>3880</v>
      </c>
      <c r="E44">
        <v>350</v>
      </c>
      <c r="F44">
        <v>1358000</v>
      </c>
      <c r="G44">
        <v>397020</v>
      </c>
      <c r="H44">
        <v>960980</v>
      </c>
      <c r="I44" s="19">
        <v>44805</v>
      </c>
      <c r="J44" t="s">
        <v>22</v>
      </c>
      <c r="K44">
        <v>2022</v>
      </c>
    </row>
    <row r="45" spans="1:11" x14ac:dyDescent="0.3">
      <c r="A45" t="s">
        <v>16</v>
      </c>
      <c r="B45" t="s">
        <v>15</v>
      </c>
      <c r="C45" t="s">
        <v>1</v>
      </c>
      <c r="D45">
        <v>2055</v>
      </c>
      <c r="E45">
        <v>300</v>
      </c>
      <c r="F45">
        <v>616500</v>
      </c>
      <c r="G45">
        <v>537750</v>
      </c>
      <c r="H45">
        <v>78750</v>
      </c>
      <c r="I45" s="19">
        <v>45170</v>
      </c>
      <c r="J45" t="s">
        <v>22</v>
      </c>
      <c r="K45">
        <v>2023</v>
      </c>
    </row>
    <row r="46" spans="1:11" x14ac:dyDescent="0.3">
      <c r="A46" t="s">
        <v>7</v>
      </c>
      <c r="B46" t="s">
        <v>6</v>
      </c>
      <c r="C46" t="s">
        <v>1</v>
      </c>
      <c r="D46">
        <v>4041</v>
      </c>
      <c r="E46">
        <v>20</v>
      </c>
      <c r="F46">
        <v>80820</v>
      </c>
      <c r="G46">
        <v>18170</v>
      </c>
      <c r="H46">
        <v>62650</v>
      </c>
      <c r="I46" s="19">
        <v>45261</v>
      </c>
      <c r="J46" t="s">
        <v>17</v>
      </c>
      <c r="K46">
        <v>2023</v>
      </c>
    </row>
    <row r="47" spans="1:11" x14ac:dyDescent="0.3">
      <c r="A47" t="s">
        <v>16</v>
      </c>
      <c r="B47" t="s">
        <v>15</v>
      </c>
      <c r="C47" t="s">
        <v>13</v>
      </c>
      <c r="D47">
        <v>3237</v>
      </c>
      <c r="E47">
        <v>350</v>
      </c>
      <c r="F47">
        <v>1132950</v>
      </c>
      <c r="G47">
        <v>715000</v>
      </c>
      <c r="H47">
        <v>417950</v>
      </c>
      <c r="I47" s="19">
        <v>44958</v>
      </c>
      <c r="J47" t="s">
        <v>8</v>
      </c>
      <c r="K47">
        <v>2023</v>
      </c>
    </row>
    <row r="48" spans="1:11" x14ac:dyDescent="0.3">
      <c r="A48" t="s">
        <v>3</v>
      </c>
      <c r="B48" t="s">
        <v>2</v>
      </c>
      <c r="C48" t="s">
        <v>13</v>
      </c>
      <c r="D48">
        <v>630</v>
      </c>
      <c r="E48">
        <v>12</v>
      </c>
      <c r="F48">
        <v>7560</v>
      </c>
      <c r="G48">
        <v>5859</v>
      </c>
      <c r="H48">
        <v>1701</v>
      </c>
      <c r="I48" s="19">
        <v>45017</v>
      </c>
      <c r="J48" t="s">
        <v>4</v>
      </c>
      <c r="K48">
        <v>2023</v>
      </c>
    </row>
    <row r="49" spans="1:11" x14ac:dyDescent="0.3">
      <c r="A49" t="s">
        <v>19</v>
      </c>
      <c r="B49" t="s">
        <v>6</v>
      </c>
      <c r="C49" t="s">
        <v>13</v>
      </c>
      <c r="D49">
        <v>4210</v>
      </c>
      <c r="E49">
        <v>125</v>
      </c>
      <c r="F49">
        <v>526250</v>
      </c>
      <c r="G49">
        <v>506340</v>
      </c>
      <c r="H49">
        <v>19910</v>
      </c>
      <c r="I49" s="19">
        <v>45017</v>
      </c>
      <c r="J49" t="s">
        <v>4</v>
      </c>
      <c r="K49">
        <v>2023</v>
      </c>
    </row>
    <row r="50" spans="1:11" x14ac:dyDescent="0.3">
      <c r="A50" t="s">
        <v>16</v>
      </c>
      <c r="B50" t="s">
        <v>15</v>
      </c>
      <c r="C50" t="s">
        <v>13</v>
      </c>
      <c r="D50">
        <v>1127</v>
      </c>
      <c r="E50">
        <v>20</v>
      </c>
      <c r="F50">
        <v>22540</v>
      </c>
      <c r="G50">
        <v>18990</v>
      </c>
      <c r="H50">
        <v>3550</v>
      </c>
      <c r="I50" s="19">
        <v>45078</v>
      </c>
      <c r="J50" t="s">
        <v>26</v>
      </c>
      <c r="K50">
        <v>2023</v>
      </c>
    </row>
    <row r="51" spans="1:11" x14ac:dyDescent="0.3">
      <c r="A51" t="s">
        <v>19</v>
      </c>
      <c r="B51" t="s">
        <v>6</v>
      </c>
      <c r="C51" t="s">
        <v>13</v>
      </c>
      <c r="D51">
        <v>3438</v>
      </c>
      <c r="E51">
        <v>7</v>
      </c>
      <c r="F51">
        <v>24066</v>
      </c>
      <c r="G51">
        <v>8430</v>
      </c>
      <c r="H51">
        <v>15636</v>
      </c>
      <c r="I51" s="19">
        <v>45108</v>
      </c>
      <c r="J51" t="s">
        <v>20</v>
      </c>
      <c r="K51">
        <v>2023</v>
      </c>
    </row>
    <row r="52" spans="1:11" x14ac:dyDescent="0.3">
      <c r="A52" t="s">
        <v>3</v>
      </c>
      <c r="B52" t="s">
        <v>2</v>
      </c>
      <c r="C52" t="s">
        <v>13</v>
      </c>
      <c r="D52">
        <v>2015</v>
      </c>
      <c r="E52">
        <v>12</v>
      </c>
      <c r="F52">
        <v>24180</v>
      </c>
      <c r="G52">
        <v>6423</v>
      </c>
      <c r="H52">
        <v>17757</v>
      </c>
      <c r="I52" s="19">
        <v>45139</v>
      </c>
      <c r="J52" t="s">
        <v>23</v>
      </c>
      <c r="K52">
        <v>2023</v>
      </c>
    </row>
    <row r="53" spans="1:11" x14ac:dyDescent="0.3">
      <c r="A53" t="s">
        <v>3</v>
      </c>
      <c r="B53" t="s">
        <v>2</v>
      </c>
      <c r="C53" t="s">
        <v>13</v>
      </c>
      <c r="D53">
        <v>2534</v>
      </c>
      <c r="E53">
        <v>7</v>
      </c>
      <c r="F53">
        <v>17738</v>
      </c>
      <c r="G53">
        <v>5715</v>
      </c>
      <c r="H53">
        <v>12023</v>
      </c>
      <c r="I53" s="19">
        <v>45200</v>
      </c>
      <c r="J53" t="s">
        <v>12</v>
      </c>
      <c r="K53">
        <v>2023</v>
      </c>
    </row>
    <row r="54" spans="1:11" x14ac:dyDescent="0.3">
      <c r="A54" t="s">
        <v>3</v>
      </c>
      <c r="B54" t="s">
        <v>2</v>
      </c>
      <c r="C54" t="s">
        <v>13</v>
      </c>
      <c r="D54">
        <v>1384</v>
      </c>
      <c r="E54">
        <v>15</v>
      </c>
      <c r="F54">
        <v>20760</v>
      </c>
      <c r="G54">
        <v>6150</v>
      </c>
      <c r="H54">
        <v>14610</v>
      </c>
      <c r="I54" s="19">
        <v>45261</v>
      </c>
      <c r="J54" t="s">
        <v>17</v>
      </c>
      <c r="K54">
        <v>2023</v>
      </c>
    </row>
    <row r="55" spans="1:11" x14ac:dyDescent="0.3">
      <c r="A55" t="s">
        <v>16</v>
      </c>
      <c r="B55" t="s">
        <v>15</v>
      </c>
      <c r="C55" t="s">
        <v>5</v>
      </c>
      <c r="D55">
        <v>3561</v>
      </c>
      <c r="E55">
        <v>7</v>
      </c>
      <c r="F55">
        <v>24927</v>
      </c>
      <c r="G55">
        <v>19725</v>
      </c>
      <c r="H55">
        <v>5202</v>
      </c>
      <c r="I55" s="19">
        <v>44927</v>
      </c>
      <c r="J55" t="s">
        <v>25</v>
      </c>
      <c r="K55">
        <v>2023</v>
      </c>
    </row>
    <row r="56" spans="1:11" x14ac:dyDescent="0.3">
      <c r="A56" t="s">
        <v>16</v>
      </c>
      <c r="B56" t="s">
        <v>15</v>
      </c>
      <c r="C56" t="s">
        <v>5</v>
      </c>
      <c r="D56">
        <v>1823</v>
      </c>
      <c r="E56">
        <v>15</v>
      </c>
      <c r="F56">
        <v>27345</v>
      </c>
      <c r="G56">
        <v>22960</v>
      </c>
      <c r="H56">
        <v>4385</v>
      </c>
      <c r="I56" s="19">
        <v>44958</v>
      </c>
      <c r="J56" t="s">
        <v>8</v>
      </c>
      <c r="K56">
        <v>2023</v>
      </c>
    </row>
    <row r="57" spans="1:11" x14ac:dyDescent="0.3">
      <c r="A57" t="s">
        <v>16</v>
      </c>
      <c r="B57" t="s">
        <v>15</v>
      </c>
      <c r="C57" t="s">
        <v>5</v>
      </c>
      <c r="D57">
        <v>2795</v>
      </c>
      <c r="E57">
        <v>7</v>
      </c>
      <c r="F57">
        <v>19565</v>
      </c>
      <c r="G57">
        <v>5150</v>
      </c>
      <c r="H57">
        <v>14415</v>
      </c>
      <c r="I57" s="19">
        <v>45047</v>
      </c>
      <c r="J57" t="s">
        <v>0</v>
      </c>
      <c r="K57">
        <v>2023</v>
      </c>
    </row>
    <row r="58" spans="1:11" x14ac:dyDescent="0.3">
      <c r="A58" t="s">
        <v>16</v>
      </c>
      <c r="B58" t="s">
        <v>15</v>
      </c>
      <c r="C58" t="s">
        <v>21</v>
      </c>
      <c r="D58">
        <v>457</v>
      </c>
      <c r="E58">
        <v>7</v>
      </c>
      <c r="F58">
        <v>3199</v>
      </c>
      <c r="G58">
        <v>3195</v>
      </c>
      <c r="H58">
        <v>4</v>
      </c>
      <c r="I58" s="19">
        <v>45231</v>
      </c>
      <c r="J58" t="s">
        <v>18</v>
      </c>
      <c r="K58">
        <v>2023</v>
      </c>
    </row>
    <row r="59" spans="1:11" x14ac:dyDescent="0.3">
      <c r="A59" t="s">
        <v>7</v>
      </c>
      <c r="B59" t="s">
        <v>6</v>
      </c>
      <c r="C59" t="s">
        <v>1</v>
      </c>
      <c r="D59">
        <v>3785</v>
      </c>
      <c r="E59">
        <v>7</v>
      </c>
      <c r="F59">
        <v>26495</v>
      </c>
      <c r="G59">
        <v>6630</v>
      </c>
      <c r="H59">
        <v>19865</v>
      </c>
      <c r="I59" s="19">
        <v>44986</v>
      </c>
      <c r="J59" t="s">
        <v>14</v>
      </c>
      <c r="K59">
        <v>2023</v>
      </c>
    </row>
    <row r="60" spans="1:11" x14ac:dyDescent="0.3">
      <c r="A60" t="s">
        <v>3</v>
      </c>
      <c r="B60" t="s">
        <v>2</v>
      </c>
      <c r="C60" t="s">
        <v>24</v>
      </c>
      <c r="D60">
        <v>748</v>
      </c>
      <c r="E60">
        <v>12</v>
      </c>
      <c r="F60">
        <v>8976</v>
      </c>
      <c r="G60">
        <v>5574</v>
      </c>
      <c r="H60">
        <v>3402</v>
      </c>
      <c r="I60" s="19">
        <v>44958</v>
      </c>
      <c r="J60" t="s">
        <v>8</v>
      </c>
      <c r="K60">
        <v>2023</v>
      </c>
    </row>
    <row r="61" spans="1:11" x14ac:dyDescent="0.3">
      <c r="A61" t="s">
        <v>11</v>
      </c>
      <c r="B61" t="s">
        <v>10</v>
      </c>
      <c r="C61" t="s">
        <v>24</v>
      </c>
      <c r="D61">
        <v>1021</v>
      </c>
      <c r="E61">
        <v>350</v>
      </c>
      <c r="F61">
        <v>357350</v>
      </c>
      <c r="G61">
        <v>314600</v>
      </c>
      <c r="H61">
        <v>42750</v>
      </c>
      <c r="I61" s="19">
        <v>44986</v>
      </c>
      <c r="J61" t="s">
        <v>14</v>
      </c>
      <c r="K61">
        <v>2023</v>
      </c>
    </row>
    <row r="62" spans="1:11" x14ac:dyDescent="0.3">
      <c r="A62" t="s">
        <v>3</v>
      </c>
      <c r="B62" t="s">
        <v>2</v>
      </c>
      <c r="C62" t="s">
        <v>24</v>
      </c>
      <c r="D62">
        <v>2076</v>
      </c>
      <c r="E62">
        <v>7</v>
      </c>
      <c r="F62">
        <v>14532</v>
      </c>
      <c r="G62">
        <v>12645</v>
      </c>
      <c r="H62">
        <v>1887</v>
      </c>
      <c r="I62" s="19">
        <v>45108</v>
      </c>
      <c r="J62" t="s">
        <v>20</v>
      </c>
      <c r="K62">
        <v>2023</v>
      </c>
    </row>
    <row r="63" spans="1:11" x14ac:dyDescent="0.3">
      <c r="A63" t="s">
        <v>7</v>
      </c>
      <c r="B63" t="s">
        <v>6</v>
      </c>
      <c r="C63" t="s">
        <v>24</v>
      </c>
      <c r="D63">
        <v>4316</v>
      </c>
      <c r="E63">
        <v>12</v>
      </c>
      <c r="F63">
        <v>51792</v>
      </c>
      <c r="G63">
        <v>4335</v>
      </c>
      <c r="H63">
        <v>47457</v>
      </c>
      <c r="I63" s="19">
        <v>45170</v>
      </c>
      <c r="J63" t="s">
        <v>22</v>
      </c>
      <c r="K63">
        <v>2023</v>
      </c>
    </row>
    <row r="64" spans="1:11" x14ac:dyDescent="0.3">
      <c r="A64" t="s">
        <v>3</v>
      </c>
      <c r="B64" t="s">
        <v>2</v>
      </c>
      <c r="C64" t="s">
        <v>24</v>
      </c>
      <c r="D64">
        <v>2654</v>
      </c>
      <c r="E64">
        <v>125</v>
      </c>
      <c r="F64">
        <v>331750</v>
      </c>
      <c r="G64">
        <v>39600</v>
      </c>
      <c r="H64">
        <v>292150</v>
      </c>
      <c r="I64" s="19">
        <v>44805</v>
      </c>
      <c r="J64" t="s">
        <v>22</v>
      </c>
      <c r="K64">
        <v>2022</v>
      </c>
    </row>
    <row r="65" spans="1:11" x14ac:dyDescent="0.3">
      <c r="A65" t="s">
        <v>16</v>
      </c>
      <c r="B65" t="s">
        <v>15</v>
      </c>
      <c r="C65" t="s">
        <v>24</v>
      </c>
      <c r="D65">
        <v>4174</v>
      </c>
      <c r="E65">
        <v>12</v>
      </c>
      <c r="F65">
        <v>50088</v>
      </c>
      <c r="G65">
        <v>8013</v>
      </c>
      <c r="H65">
        <v>42075</v>
      </c>
      <c r="I65" s="19">
        <v>45170</v>
      </c>
      <c r="J65" t="s">
        <v>22</v>
      </c>
      <c r="K65">
        <v>2023</v>
      </c>
    </row>
    <row r="66" spans="1:11" x14ac:dyDescent="0.3">
      <c r="A66" t="s">
        <v>19</v>
      </c>
      <c r="B66" t="s">
        <v>6</v>
      </c>
      <c r="C66" t="s">
        <v>24</v>
      </c>
      <c r="D66">
        <v>1675</v>
      </c>
      <c r="E66">
        <v>12</v>
      </c>
      <c r="F66">
        <v>20100</v>
      </c>
      <c r="G66">
        <v>2298</v>
      </c>
      <c r="H66">
        <v>17802</v>
      </c>
      <c r="I66" s="19">
        <v>44835</v>
      </c>
      <c r="J66" t="s">
        <v>12</v>
      </c>
      <c r="K66">
        <v>2022</v>
      </c>
    </row>
    <row r="67" spans="1:11" x14ac:dyDescent="0.3">
      <c r="A67" t="s">
        <v>11</v>
      </c>
      <c r="B67" t="s">
        <v>10</v>
      </c>
      <c r="C67" t="s">
        <v>24</v>
      </c>
      <c r="D67">
        <v>1572</v>
      </c>
      <c r="E67">
        <v>300</v>
      </c>
      <c r="F67">
        <v>471600</v>
      </c>
      <c r="G67">
        <v>123500</v>
      </c>
      <c r="H67">
        <v>348100</v>
      </c>
      <c r="I67" s="19">
        <v>44835</v>
      </c>
      <c r="J67" t="s">
        <v>12</v>
      </c>
      <c r="K67">
        <v>2022</v>
      </c>
    </row>
    <row r="68" spans="1:11" x14ac:dyDescent="0.3">
      <c r="A68" t="s">
        <v>11</v>
      </c>
      <c r="B68" t="s">
        <v>10</v>
      </c>
      <c r="C68" t="s">
        <v>24</v>
      </c>
      <c r="D68">
        <v>3736</v>
      </c>
      <c r="E68">
        <v>350</v>
      </c>
      <c r="F68">
        <v>1307600</v>
      </c>
      <c r="G68">
        <v>363220</v>
      </c>
      <c r="H68">
        <v>944380</v>
      </c>
      <c r="I68" s="19">
        <v>45200</v>
      </c>
      <c r="J68" t="s">
        <v>12</v>
      </c>
      <c r="K68">
        <v>2023</v>
      </c>
    </row>
    <row r="69" spans="1:11" x14ac:dyDescent="0.3">
      <c r="A69" t="s">
        <v>16</v>
      </c>
      <c r="B69" t="s">
        <v>15</v>
      </c>
      <c r="C69" t="s">
        <v>24</v>
      </c>
      <c r="D69">
        <v>1914</v>
      </c>
      <c r="E69">
        <v>350</v>
      </c>
      <c r="F69">
        <v>669900</v>
      </c>
      <c r="G69">
        <v>560300</v>
      </c>
      <c r="H69">
        <v>109600</v>
      </c>
      <c r="I69" s="19">
        <v>45261</v>
      </c>
      <c r="J69" t="s">
        <v>17</v>
      </c>
      <c r="K69">
        <v>2023</v>
      </c>
    </row>
    <row r="70" spans="1:11" x14ac:dyDescent="0.3">
      <c r="A70" t="s">
        <v>11</v>
      </c>
      <c r="B70" t="s">
        <v>10</v>
      </c>
      <c r="C70" t="s">
        <v>9</v>
      </c>
      <c r="D70">
        <v>2742</v>
      </c>
      <c r="E70">
        <v>15</v>
      </c>
      <c r="F70">
        <v>41130</v>
      </c>
      <c r="G70">
        <v>22140</v>
      </c>
      <c r="H70">
        <v>18990</v>
      </c>
      <c r="I70" s="19">
        <v>44986</v>
      </c>
      <c r="J70" t="s">
        <v>14</v>
      </c>
      <c r="K70">
        <v>2023</v>
      </c>
    </row>
    <row r="71" spans="1:11" x14ac:dyDescent="0.3">
      <c r="A71" t="s">
        <v>3</v>
      </c>
      <c r="B71" t="s">
        <v>2</v>
      </c>
      <c r="C71" t="s">
        <v>9</v>
      </c>
      <c r="D71">
        <v>1499</v>
      </c>
      <c r="E71">
        <v>300</v>
      </c>
      <c r="F71">
        <v>449700</v>
      </c>
      <c r="G71">
        <v>575250</v>
      </c>
      <c r="H71">
        <v>-125550</v>
      </c>
      <c r="I71" s="19">
        <v>45017</v>
      </c>
      <c r="J71" t="s">
        <v>4</v>
      </c>
      <c r="K71">
        <v>2023</v>
      </c>
    </row>
    <row r="72" spans="1:11" x14ac:dyDescent="0.3">
      <c r="A72" t="s">
        <v>16</v>
      </c>
      <c r="B72" t="s">
        <v>15</v>
      </c>
      <c r="C72" t="s">
        <v>9</v>
      </c>
      <c r="D72">
        <v>3772</v>
      </c>
      <c r="E72">
        <v>20</v>
      </c>
      <c r="F72">
        <v>75440</v>
      </c>
      <c r="G72">
        <v>13755</v>
      </c>
      <c r="H72">
        <v>61685</v>
      </c>
      <c r="I72" s="19">
        <v>45108</v>
      </c>
      <c r="J72" t="s">
        <v>20</v>
      </c>
      <c r="K72">
        <v>2023</v>
      </c>
    </row>
    <row r="73" spans="1:11" x14ac:dyDescent="0.3">
      <c r="A73" t="s">
        <v>7</v>
      </c>
      <c r="B73" t="s">
        <v>6</v>
      </c>
      <c r="C73" t="s">
        <v>9</v>
      </c>
      <c r="D73">
        <v>1112</v>
      </c>
      <c r="E73">
        <v>7</v>
      </c>
      <c r="F73">
        <v>7784</v>
      </c>
      <c r="G73">
        <v>9150</v>
      </c>
      <c r="H73">
        <v>-1366</v>
      </c>
      <c r="I73" s="19">
        <v>45139</v>
      </c>
      <c r="J73" t="s">
        <v>23</v>
      </c>
      <c r="K73">
        <v>2023</v>
      </c>
    </row>
    <row r="74" spans="1:11" x14ac:dyDescent="0.3">
      <c r="A74" t="s">
        <v>3</v>
      </c>
      <c r="B74" t="s">
        <v>2</v>
      </c>
      <c r="C74" t="s">
        <v>9</v>
      </c>
      <c r="D74">
        <v>1723</v>
      </c>
      <c r="E74">
        <v>300</v>
      </c>
      <c r="F74">
        <v>516900</v>
      </c>
      <c r="G74">
        <v>624500</v>
      </c>
      <c r="H74">
        <v>-107600</v>
      </c>
      <c r="I74" s="19">
        <v>44805</v>
      </c>
      <c r="J74" t="s">
        <v>22</v>
      </c>
      <c r="K74">
        <v>2022</v>
      </c>
    </row>
    <row r="75" spans="1:11" x14ac:dyDescent="0.3">
      <c r="A75" t="s">
        <v>3</v>
      </c>
      <c r="B75" t="s">
        <v>2</v>
      </c>
      <c r="C75" t="s">
        <v>9</v>
      </c>
      <c r="D75">
        <v>423</v>
      </c>
      <c r="E75">
        <v>125</v>
      </c>
      <c r="F75">
        <v>52875</v>
      </c>
      <c r="G75">
        <v>79560</v>
      </c>
      <c r="H75">
        <v>-26685</v>
      </c>
      <c r="I75" s="19">
        <v>44835</v>
      </c>
      <c r="J75" t="s">
        <v>12</v>
      </c>
      <c r="K75">
        <v>2022</v>
      </c>
    </row>
    <row r="76" spans="1:11" x14ac:dyDescent="0.3">
      <c r="A76" t="s">
        <v>3</v>
      </c>
      <c r="B76" t="s">
        <v>2</v>
      </c>
      <c r="C76" t="s">
        <v>5</v>
      </c>
      <c r="D76">
        <v>2368</v>
      </c>
      <c r="E76">
        <v>15</v>
      </c>
      <c r="F76">
        <v>35520</v>
      </c>
      <c r="G76">
        <v>15140</v>
      </c>
      <c r="H76">
        <v>20380</v>
      </c>
      <c r="I76" s="19">
        <v>44958</v>
      </c>
      <c r="J76" t="s">
        <v>8</v>
      </c>
      <c r="K76">
        <v>2023</v>
      </c>
    </row>
    <row r="77" spans="1:11" x14ac:dyDescent="0.3">
      <c r="A77" t="s">
        <v>3</v>
      </c>
      <c r="B77" t="s">
        <v>2</v>
      </c>
      <c r="C77" t="s">
        <v>5</v>
      </c>
      <c r="D77">
        <v>1586</v>
      </c>
      <c r="E77">
        <v>7</v>
      </c>
      <c r="F77">
        <v>11102</v>
      </c>
      <c r="G77">
        <v>22462.5</v>
      </c>
      <c r="H77">
        <v>-11360.5</v>
      </c>
      <c r="I77" s="19">
        <v>45017</v>
      </c>
      <c r="J77" t="s">
        <v>4</v>
      </c>
      <c r="K77">
        <v>2023</v>
      </c>
    </row>
    <row r="78" spans="1:11" x14ac:dyDescent="0.3">
      <c r="A78" t="s">
        <v>3</v>
      </c>
      <c r="B78" t="s">
        <v>2</v>
      </c>
      <c r="C78" t="s">
        <v>5</v>
      </c>
      <c r="D78">
        <v>3386</v>
      </c>
      <c r="E78">
        <v>125</v>
      </c>
      <c r="F78">
        <v>423250</v>
      </c>
      <c r="G78">
        <v>87240</v>
      </c>
      <c r="H78">
        <v>336010</v>
      </c>
      <c r="I78" s="19">
        <v>45078</v>
      </c>
      <c r="J78" t="s">
        <v>26</v>
      </c>
      <c r="K78">
        <v>2023</v>
      </c>
    </row>
    <row r="79" spans="1:11" x14ac:dyDescent="0.3">
      <c r="A79" t="s">
        <v>16</v>
      </c>
      <c r="B79" t="s">
        <v>15</v>
      </c>
      <c r="C79" t="s">
        <v>5</v>
      </c>
      <c r="D79">
        <v>852</v>
      </c>
      <c r="E79">
        <v>125</v>
      </c>
      <c r="F79">
        <v>106500</v>
      </c>
      <c r="G79">
        <v>94440</v>
      </c>
      <c r="H79">
        <v>12060</v>
      </c>
      <c r="I79" s="19">
        <v>45078</v>
      </c>
      <c r="J79" t="s">
        <v>26</v>
      </c>
      <c r="K79">
        <v>2023</v>
      </c>
    </row>
    <row r="80" spans="1:11" x14ac:dyDescent="0.3">
      <c r="A80" t="s">
        <v>11</v>
      </c>
      <c r="B80" t="s">
        <v>10</v>
      </c>
      <c r="C80" t="s">
        <v>5</v>
      </c>
      <c r="D80">
        <v>2783</v>
      </c>
      <c r="E80">
        <v>125</v>
      </c>
      <c r="F80">
        <v>347875</v>
      </c>
      <c r="G80">
        <v>218760</v>
      </c>
      <c r="H80">
        <v>129115</v>
      </c>
      <c r="I80" s="19">
        <v>45108</v>
      </c>
      <c r="J80" t="s">
        <v>20</v>
      </c>
      <c r="K80">
        <v>2023</v>
      </c>
    </row>
    <row r="81" spans="1:11" x14ac:dyDescent="0.3">
      <c r="A81" t="s">
        <v>19</v>
      </c>
      <c r="B81" t="s">
        <v>6</v>
      </c>
      <c r="C81" t="s">
        <v>5</v>
      </c>
      <c r="D81">
        <v>2684</v>
      </c>
      <c r="E81">
        <v>15</v>
      </c>
      <c r="F81">
        <v>40260</v>
      </c>
      <c r="G81">
        <v>7470</v>
      </c>
      <c r="H81">
        <v>32790</v>
      </c>
      <c r="I81" s="19">
        <v>45170</v>
      </c>
      <c r="J81" t="s">
        <v>22</v>
      </c>
      <c r="K81">
        <v>2023</v>
      </c>
    </row>
    <row r="82" spans="1:11" x14ac:dyDescent="0.3">
      <c r="A82" t="s">
        <v>19</v>
      </c>
      <c r="B82" t="s">
        <v>6</v>
      </c>
      <c r="C82" t="s">
        <v>5</v>
      </c>
      <c r="D82">
        <v>4393</v>
      </c>
      <c r="E82">
        <v>12</v>
      </c>
      <c r="F82">
        <v>52716</v>
      </c>
      <c r="G82">
        <v>2298</v>
      </c>
      <c r="H82">
        <v>50418</v>
      </c>
      <c r="I82" s="19">
        <v>44835</v>
      </c>
      <c r="J82" t="s">
        <v>12</v>
      </c>
      <c r="K82">
        <v>2022</v>
      </c>
    </row>
    <row r="83" spans="1:11" x14ac:dyDescent="0.3">
      <c r="A83" t="s">
        <v>3</v>
      </c>
      <c r="B83" t="s">
        <v>2</v>
      </c>
      <c r="C83" t="s">
        <v>5</v>
      </c>
      <c r="D83">
        <v>4083</v>
      </c>
      <c r="E83">
        <v>300</v>
      </c>
      <c r="F83">
        <v>1224900</v>
      </c>
      <c r="G83">
        <v>726250</v>
      </c>
      <c r="H83">
        <v>498650</v>
      </c>
      <c r="I83" s="19">
        <v>45231</v>
      </c>
      <c r="J83" t="s">
        <v>18</v>
      </c>
      <c r="K83">
        <v>2023</v>
      </c>
    </row>
    <row r="84" spans="1:11" x14ac:dyDescent="0.3">
      <c r="A84" t="s">
        <v>16</v>
      </c>
      <c r="B84" t="s">
        <v>15</v>
      </c>
      <c r="C84" t="s">
        <v>5</v>
      </c>
      <c r="D84">
        <v>2816</v>
      </c>
      <c r="E84">
        <v>350</v>
      </c>
      <c r="F84">
        <v>985600</v>
      </c>
      <c r="G84">
        <v>560300</v>
      </c>
      <c r="H84">
        <v>425300</v>
      </c>
      <c r="I84" s="19">
        <v>45261</v>
      </c>
      <c r="J84" t="s">
        <v>17</v>
      </c>
      <c r="K84">
        <v>2023</v>
      </c>
    </row>
    <row r="85" spans="1:11" x14ac:dyDescent="0.3">
      <c r="A85" t="s">
        <v>16</v>
      </c>
      <c r="B85" t="s">
        <v>15</v>
      </c>
      <c r="C85" t="s">
        <v>21</v>
      </c>
      <c r="D85">
        <v>4294</v>
      </c>
      <c r="E85">
        <v>20</v>
      </c>
      <c r="F85">
        <v>85880</v>
      </c>
      <c r="G85">
        <v>38640</v>
      </c>
      <c r="H85">
        <v>47240</v>
      </c>
      <c r="I85" s="19">
        <v>45017</v>
      </c>
      <c r="J85" t="s">
        <v>4</v>
      </c>
      <c r="K85">
        <v>2023</v>
      </c>
    </row>
    <row r="86" spans="1:11" x14ac:dyDescent="0.3">
      <c r="A86" t="s">
        <v>11</v>
      </c>
      <c r="B86" t="s">
        <v>10</v>
      </c>
      <c r="C86" t="s">
        <v>21</v>
      </c>
      <c r="D86">
        <v>2856</v>
      </c>
      <c r="E86">
        <v>7</v>
      </c>
      <c r="F86">
        <v>19992</v>
      </c>
      <c r="G86">
        <v>1810</v>
      </c>
      <c r="H86">
        <v>18182</v>
      </c>
      <c r="I86" s="19">
        <v>45047</v>
      </c>
      <c r="J86" t="s">
        <v>0</v>
      </c>
      <c r="K86">
        <v>2023</v>
      </c>
    </row>
    <row r="87" spans="1:11" x14ac:dyDescent="0.3">
      <c r="A87" t="s">
        <v>7</v>
      </c>
      <c r="B87" t="s">
        <v>6</v>
      </c>
      <c r="C87" t="s">
        <v>21</v>
      </c>
      <c r="D87">
        <v>1407</v>
      </c>
      <c r="E87">
        <v>125</v>
      </c>
      <c r="F87">
        <v>175875</v>
      </c>
      <c r="G87">
        <v>110760</v>
      </c>
      <c r="H87">
        <v>65115</v>
      </c>
      <c r="I87" s="19">
        <v>45139</v>
      </c>
      <c r="J87" t="s">
        <v>23</v>
      </c>
      <c r="K87">
        <v>2023</v>
      </c>
    </row>
    <row r="88" spans="1:11" x14ac:dyDescent="0.3">
      <c r="A88" t="s">
        <v>3</v>
      </c>
      <c r="B88" t="s">
        <v>2</v>
      </c>
      <c r="C88" t="s">
        <v>21</v>
      </c>
      <c r="D88">
        <v>3850</v>
      </c>
      <c r="E88">
        <v>125</v>
      </c>
      <c r="F88">
        <v>481250</v>
      </c>
      <c r="G88">
        <v>79560</v>
      </c>
      <c r="H88">
        <v>401690</v>
      </c>
      <c r="I88" s="19">
        <v>44835</v>
      </c>
      <c r="J88" t="s">
        <v>12</v>
      </c>
      <c r="K88">
        <v>2022</v>
      </c>
    </row>
    <row r="89" spans="1:11" x14ac:dyDescent="0.3">
      <c r="A89" t="s">
        <v>7</v>
      </c>
      <c r="B89" t="s">
        <v>6</v>
      </c>
      <c r="C89" t="s">
        <v>21</v>
      </c>
      <c r="D89">
        <v>2856</v>
      </c>
      <c r="E89">
        <v>7</v>
      </c>
      <c r="F89">
        <v>19992</v>
      </c>
      <c r="G89">
        <v>10460</v>
      </c>
      <c r="H89">
        <v>9532</v>
      </c>
      <c r="I89" s="19">
        <v>44866</v>
      </c>
      <c r="J89" t="s">
        <v>18</v>
      </c>
      <c r="K89">
        <v>2022</v>
      </c>
    </row>
    <row r="90" spans="1:11" x14ac:dyDescent="0.3">
      <c r="A90" t="s">
        <v>19</v>
      </c>
      <c r="B90" t="s">
        <v>6</v>
      </c>
      <c r="C90" t="s">
        <v>1</v>
      </c>
      <c r="D90">
        <v>1265</v>
      </c>
      <c r="E90">
        <v>7</v>
      </c>
      <c r="F90">
        <v>8855</v>
      </c>
      <c r="G90">
        <v>1315</v>
      </c>
      <c r="H90">
        <v>7540</v>
      </c>
      <c r="I90" s="19">
        <v>44986</v>
      </c>
      <c r="J90" t="s">
        <v>14</v>
      </c>
      <c r="K90">
        <v>2023</v>
      </c>
    </row>
    <row r="91" spans="1:11" x14ac:dyDescent="0.3">
      <c r="A91" t="s">
        <v>7</v>
      </c>
      <c r="B91" t="s">
        <v>6</v>
      </c>
      <c r="C91" t="s">
        <v>1</v>
      </c>
      <c r="D91">
        <v>3892</v>
      </c>
      <c r="E91">
        <v>350</v>
      </c>
      <c r="F91">
        <v>1362200</v>
      </c>
      <c r="G91">
        <v>245310</v>
      </c>
      <c r="H91">
        <v>1116890</v>
      </c>
      <c r="I91" s="19">
        <v>45017</v>
      </c>
      <c r="J91" t="s">
        <v>4</v>
      </c>
      <c r="K91">
        <v>2023</v>
      </c>
    </row>
    <row r="92" spans="1:11" x14ac:dyDescent="0.3">
      <c r="A92" t="s">
        <v>3</v>
      </c>
      <c r="B92" t="s">
        <v>2</v>
      </c>
      <c r="C92" t="s">
        <v>1</v>
      </c>
      <c r="D92">
        <v>3068</v>
      </c>
      <c r="E92">
        <v>125</v>
      </c>
      <c r="F92">
        <v>383500</v>
      </c>
      <c r="G92">
        <v>87240</v>
      </c>
      <c r="H92">
        <v>296260</v>
      </c>
      <c r="I92" s="19">
        <v>45078</v>
      </c>
      <c r="J92" t="s">
        <v>26</v>
      </c>
      <c r="K92">
        <v>2023</v>
      </c>
    </row>
    <row r="93" spans="1:11" x14ac:dyDescent="0.3">
      <c r="A93" t="s">
        <v>16</v>
      </c>
      <c r="B93" t="s">
        <v>15</v>
      </c>
      <c r="C93" t="s">
        <v>1</v>
      </c>
      <c r="D93">
        <v>2181</v>
      </c>
      <c r="E93">
        <v>125</v>
      </c>
      <c r="F93">
        <v>272625</v>
      </c>
      <c r="G93">
        <v>94440</v>
      </c>
      <c r="H93">
        <v>178185</v>
      </c>
      <c r="I93" s="19">
        <v>45078</v>
      </c>
      <c r="J93" t="s">
        <v>26</v>
      </c>
      <c r="K93">
        <v>2023</v>
      </c>
    </row>
    <row r="94" spans="1:11" x14ac:dyDescent="0.3">
      <c r="A94" t="s">
        <v>19</v>
      </c>
      <c r="B94" t="s">
        <v>6</v>
      </c>
      <c r="C94" t="s">
        <v>1</v>
      </c>
      <c r="D94">
        <v>1356</v>
      </c>
      <c r="E94">
        <v>300</v>
      </c>
      <c r="F94">
        <v>406800</v>
      </c>
      <c r="G94">
        <v>246500</v>
      </c>
      <c r="H94">
        <v>160300</v>
      </c>
      <c r="I94" s="19">
        <v>45170</v>
      </c>
      <c r="J94" t="s">
        <v>22</v>
      </c>
      <c r="K94">
        <v>2023</v>
      </c>
    </row>
    <row r="95" spans="1:11" x14ac:dyDescent="0.3">
      <c r="A95" t="s">
        <v>11</v>
      </c>
      <c r="B95" t="s">
        <v>10</v>
      </c>
      <c r="C95" t="s">
        <v>1</v>
      </c>
      <c r="D95">
        <v>2545</v>
      </c>
      <c r="E95">
        <v>300</v>
      </c>
      <c r="F95">
        <v>763500</v>
      </c>
      <c r="G95">
        <v>123500</v>
      </c>
      <c r="H95">
        <v>640000</v>
      </c>
      <c r="I95" s="19">
        <v>44835</v>
      </c>
      <c r="J95" t="s">
        <v>12</v>
      </c>
      <c r="K95">
        <v>2022</v>
      </c>
    </row>
    <row r="96" spans="1:11" x14ac:dyDescent="0.3">
      <c r="A96" t="s">
        <v>11</v>
      </c>
      <c r="B96" t="s">
        <v>10</v>
      </c>
      <c r="C96" t="s">
        <v>1</v>
      </c>
      <c r="D96">
        <v>1814</v>
      </c>
      <c r="E96">
        <v>350</v>
      </c>
      <c r="F96">
        <v>634900</v>
      </c>
      <c r="G96">
        <v>363220</v>
      </c>
      <c r="H96">
        <v>271680</v>
      </c>
      <c r="I96" s="19">
        <v>45200</v>
      </c>
      <c r="J96" t="s">
        <v>12</v>
      </c>
      <c r="K96">
        <v>2023</v>
      </c>
    </row>
    <row r="97" spans="1:11" x14ac:dyDescent="0.3">
      <c r="A97" t="s">
        <v>16</v>
      </c>
      <c r="B97" t="s">
        <v>15</v>
      </c>
      <c r="C97" t="s">
        <v>1</v>
      </c>
      <c r="D97">
        <v>1495</v>
      </c>
      <c r="E97">
        <v>125</v>
      </c>
      <c r="F97">
        <v>186875</v>
      </c>
      <c r="G97">
        <v>209280</v>
      </c>
      <c r="H97">
        <v>-22405</v>
      </c>
      <c r="I97" s="19">
        <v>45231</v>
      </c>
      <c r="J97" t="s">
        <v>18</v>
      </c>
      <c r="K97">
        <v>2023</v>
      </c>
    </row>
    <row r="98" spans="1:11" x14ac:dyDescent="0.3">
      <c r="A98" t="s">
        <v>3</v>
      </c>
      <c r="B98" t="s">
        <v>2</v>
      </c>
      <c r="C98" t="s">
        <v>13</v>
      </c>
      <c r="D98">
        <v>1154</v>
      </c>
      <c r="E98">
        <v>12</v>
      </c>
      <c r="F98">
        <v>13848</v>
      </c>
      <c r="G98">
        <v>5967</v>
      </c>
      <c r="H98">
        <v>7881</v>
      </c>
      <c r="I98" s="19">
        <v>44805</v>
      </c>
      <c r="J98" t="s">
        <v>22</v>
      </c>
      <c r="K98">
        <v>2022</v>
      </c>
    </row>
    <row r="99" spans="1:11" x14ac:dyDescent="0.3">
      <c r="A99" t="s">
        <v>16</v>
      </c>
      <c r="B99" t="s">
        <v>15</v>
      </c>
      <c r="C99" t="s">
        <v>13</v>
      </c>
      <c r="D99">
        <v>4180</v>
      </c>
      <c r="E99">
        <v>15</v>
      </c>
      <c r="F99">
        <v>62700</v>
      </c>
      <c r="G99">
        <v>3210</v>
      </c>
      <c r="H99">
        <v>59490</v>
      </c>
      <c r="I99" s="19">
        <v>44866</v>
      </c>
      <c r="J99" t="s">
        <v>18</v>
      </c>
      <c r="K99">
        <v>2022</v>
      </c>
    </row>
    <row r="100" spans="1:11" x14ac:dyDescent="0.3">
      <c r="A100" t="s">
        <v>7</v>
      </c>
      <c r="B100" t="s">
        <v>6</v>
      </c>
      <c r="C100" t="s">
        <v>24</v>
      </c>
      <c r="D100">
        <v>1463</v>
      </c>
      <c r="E100">
        <v>125</v>
      </c>
      <c r="F100">
        <v>182875</v>
      </c>
      <c r="G100">
        <v>89100</v>
      </c>
      <c r="H100">
        <v>93775</v>
      </c>
      <c r="I100" s="19">
        <v>45017</v>
      </c>
      <c r="J100" t="s">
        <v>4</v>
      </c>
      <c r="K100">
        <v>2023</v>
      </c>
    </row>
    <row r="101" spans="1:11" x14ac:dyDescent="0.3">
      <c r="A101" t="s">
        <v>7</v>
      </c>
      <c r="B101" t="s">
        <v>6</v>
      </c>
      <c r="C101" t="s">
        <v>24</v>
      </c>
      <c r="D101">
        <v>215</v>
      </c>
      <c r="E101">
        <v>12</v>
      </c>
      <c r="F101">
        <v>2580</v>
      </c>
      <c r="G101">
        <v>3885</v>
      </c>
      <c r="H101">
        <v>-1305</v>
      </c>
      <c r="I101" s="19">
        <v>45200</v>
      </c>
      <c r="J101" t="s">
        <v>12</v>
      </c>
      <c r="K101">
        <v>2023</v>
      </c>
    </row>
    <row r="102" spans="1:11" x14ac:dyDescent="0.3">
      <c r="A102" t="s">
        <v>19</v>
      </c>
      <c r="B102" t="s">
        <v>6</v>
      </c>
      <c r="C102" t="s">
        <v>24</v>
      </c>
      <c r="D102">
        <v>4099</v>
      </c>
      <c r="E102">
        <v>300</v>
      </c>
      <c r="F102">
        <v>1229700</v>
      </c>
      <c r="G102">
        <v>53500</v>
      </c>
      <c r="H102">
        <v>1176200</v>
      </c>
      <c r="I102" s="19">
        <v>44835</v>
      </c>
      <c r="J102" t="s">
        <v>12</v>
      </c>
      <c r="K102">
        <v>2022</v>
      </c>
    </row>
    <row r="103" spans="1:11" x14ac:dyDescent="0.3">
      <c r="A103" t="s">
        <v>16</v>
      </c>
      <c r="B103" t="s">
        <v>15</v>
      </c>
      <c r="C103" t="s">
        <v>24</v>
      </c>
      <c r="D103">
        <v>2660</v>
      </c>
      <c r="E103">
        <v>7</v>
      </c>
      <c r="F103">
        <v>18620</v>
      </c>
      <c r="G103">
        <v>10725</v>
      </c>
      <c r="H103">
        <v>7895</v>
      </c>
      <c r="I103" s="19">
        <v>44866</v>
      </c>
      <c r="J103" t="s">
        <v>18</v>
      </c>
      <c r="K103">
        <v>2022</v>
      </c>
    </row>
    <row r="104" spans="1:11" x14ac:dyDescent="0.3">
      <c r="A104" t="s">
        <v>7</v>
      </c>
      <c r="B104" t="s">
        <v>6</v>
      </c>
      <c r="C104" t="s">
        <v>24</v>
      </c>
      <c r="D104">
        <v>566</v>
      </c>
      <c r="E104">
        <v>350</v>
      </c>
      <c r="F104">
        <v>198100</v>
      </c>
      <c r="G104">
        <v>741520</v>
      </c>
      <c r="H104">
        <v>-543420</v>
      </c>
      <c r="I104" s="19">
        <v>45261</v>
      </c>
      <c r="J104" t="s">
        <v>17</v>
      </c>
      <c r="K104">
        <v>2023</v>
      </c>
    </row>
    <row r="105" spans="1:11" x14ac:dyDescent="0.3">
      <c r="A105" t="s">
        <v>3</v>
      </c>
      <c r="B105" t="s">
        <v>2</v>
      </c>
      <c r="C105" t="s">
        <v>9</v>
      </c>
      <c r="D105">
        <v>3255</v>
      </c>
      <c r="E105">
        <v>12</v>
      </c>
      <c r="F105">
        <v>39060</v>
      </c>
      <c r="G105">
        <v>3426</v>
      </c>
      <c r="H105">
        <v>35634</v>
      </c>
      <c r="I105" s="19">
        <v>45078</v>
      </c>
      <c r="J105" t="s">
        <v>26</v>
      </c>
      <c r="K105">
        <v>2023</v>
      </c>
    </row>
    <row r="106" spans="1:11" x14ac:dyDescent="0.3">
      <c r="A106" t="s">
        <v>3</v>
      </c>
      <c r="B106" t="s">
        <v>2</v>
      </c>
      <c r="C106" t="s">
        <v>9</v>
      </c>
      <c r="D106">
        <v>772</v>
      </c>
      <c r="E106">
        <v>20</v>
      </c>
      <c r="F106">
        <v>15440</v>
      </c>
      <c r="G106">
        <v>15660</v>
      </c>
      <c r="H106">
        <v>-220</v>
      </c>
      <c r="I106" s="19">
        <v>45200</v>
      </c>
      <c r="J106" t="s">
        <v>12</v>
      </c>
      <c r="K106">
        <v>2023</v>
      </c>
    </row>
    <row r="107" spans="1:11" x14ac:dyDescent="0.3">
      <c r="A107" t="s">
        <v>11</v>
      </c>
      <c r="B107" t="s">
        <v>10</v>
      </c>
      <c r="C107" t="s">
        <v>9</v>
      </c>
      <c r="D107">
        <v>1135</v>
      </c>
      <c r="E107">
        <v>12</v>
      </c>
      <c r="F107">
        <v>13620</v>
      </c>
      <c r="G107">
        <v>2070</v>
      </c>
      <c r="H107">
        <v>11550</v>
      </c>
      <c r="I107" s="19">
        <v>45231</v>
      </c>
      <c r="J107" t="s">
        <v>18</v>
      </c>
      <c r="K107">
        <v>2023</v>
      </c>
    </row>
    <row r="108" spans="1:11" x14ac:dyDescent="0.3">
      <c r="A108" t="s">
        <v>11</v>
      </c>
      <c r="B108" t="s">
        <v>10</v>
      </c>
      <c r="C108" t="s">
        <v>9</v>
      </c>
      <c r="D108">
        <v>3826</v>
      </c>
      <c r="E108">
        <v>125</v>
      </c>
      <c r="F108">
        <v>478250</v>
      </c>
      <c r="G108">
        <v>199200</v>
      </c>
      <c r="H108">
        <v>279050</v>
      </c>
      <c r="I108" s="19">
        <v>44866</v>
      </c>
      <c r="J108" t="s">
        <v>18</v>
      </c>
      <c r="K108">
        <v>2022</v>
      </c>
    </row>
    <row r="109" spans="1:11" x14ac:dyDescent="0.3">
      <c r="A109" t="s">
        <v>7</v>
      </c>
      <c r="B109" t="s">
        <v>6</v>
      </c>
      <c r="C109" t="s">
        <v>5</v>
      </c>
      <c r="D109">
        <v>1193</v>
      </c>
      <c r="E109">
        <v>15</v>
      </c>
      <c r="F109">
        <v>17895</v>
      </c>
      <c r="G109">
        <v>23630</v>
      </c>
      <c r="H109">
        <v>-5735</v>
      </c>
      <c r="I109" s="19">
        <v>44958</v>
      </c>
      <c r="J109" t="s">
        <v>8</v>
      </c>
      <c r="K109">
        <v>2023</v>
      </c>
    </row>
    <row r="110" spans="1:11" x14ac:dyDescent="0.3">
      <c r="A110" t="s">
        <v>16</v>
      </c>
      <c r="B110" t="s">
        <v>15</v>
      </c>
      <c r="C110" t="s">
        <v>5</v>
      </c>
      <c r="D110">
        <v>2530</v>
      </c>
      <c r="E110">
        <v>300</v>
      </c>
      <c r="F110">
        <v>759000</v>
      </c>
      <c r="G110">
        <v>229500</v>
      </c>
      <c r="H110">
        <v>529500</v>
      </c>
      <c r="I110" s="19">
        <v>45047</v>
      </c>
      <c r="J110" t="s">
        <v>0</v>
      </c>
      <c r="K110">
        <v>2023</v>
      </c>
    </row>
    <row r="111" spans="1:11" x14ac:dyDescent="0.3">
      <c r="A111" t="s">
        <v>19</v>
      </c>
      <c r="B111" t="s">
        <v>6</v>
      </c>
      <c r="C111" t="s">
        <v>5</v>
      </c>
      <c r="D111">
        <v>3451</v>
      </c>
      <c r="E111">
        <v>300</v>
      </c>
      <c r="F111">
        <v>1035300</v>
      </c>
      <c r="G111">
        <v>432000</v>
      </c>
      <c r="H111">
        <v>603300</v>
      </c>
      <c r="I111" s="19">
        <v>45047</v>
      </c>
      <c r="J111" t="s">
        <v>0</v>
      </c>
      <c r="K111">
        <v>2023</v>
      </c>
    </row>
    <row r="112" spans="1:11" x14ac:dyDescent="0.3">
      <c r="A112" t="s">
        <v>3</v>
      </c>
      <c r="B112" t="s">
        <v>2</v>
      </c>
      <c r="C112" t="s">
        <v>5</v>
      </c>
      <c r="D112">
        <v>3059</v>
      </c>
      <c r="E112">
        <v>12</v>
      </c>
      <c r="F112">
        <v>36708</v>
      </c>
      <c r="G112">
        <v>3426</v>
      </c>
      <c r="H112">
        <v>33282</v>
      </c>
      <c r="I112" s="19">
        <v>45078</v>
      </c>
      <c r="J112" t="s">
        <v>26</v>
      </c>
      <c r="K112">
        <v>2023</v>
      </c>
    </row>
    <row r="113" spans="1:11" x14ac:dyDescent="0.3">
      <c r="A113" t="s">
        <v>11</v>
      </c>
      <c r="B113" t="s">
        <v>10</v>
      </c>
      <c r="C113" t="s">
        <v>5</v>
      </c>
      <c r="D113">
        <v>3957</v>
      </c>
      <c r="E113">
        <v>125</v>
      </c>
      <c r="F113">
        <v>494625</v>
      </c>
      <c r="G113">
        <v>79440</v>
      </c>
      <c r="H113">
        <v>415185</v>
      </c>
      <c r="I113" s="19">
        <v>45078</v>
      </c>
      <c r="J113" t="s">
        <v>26</v>
      </c>
      <c r="K113">
        <v>2023</v>
      </c>
    </row>
    <row r="114" spans="1:11" x14ac:dyDescent="0.3">
      <c r="A114" t="s">
        <v>7</v>
      </c>
      <c r="B114" t="s">
        <v>6</v>
      </c>
      <c r="C114" t="s">
        <v>5</v>
      </c>
      <c r="D114">
        <v>3444</v>
      </c>
      <c r="E114">
        <v>12</v>
      </c>
      <c r="F114">
        <v>41328</v>
      </c>
      <c r="G114">
        <v>3885</v>
      </c>
      <c r="H114">
        <v>37443</v>
      </c>
      <c r="I114" s="19">
        <v>45200</v>
      </c>
      <c r="J114" t="s">
        <v>12</v>
      </c>
      <c r="K114">
        <v>2023</v>
      </c>
    </row>
    <row r="115" spans="1:11" x14ac:dyDescent="0.3">
      <c r="A115" t="s">
        <v>19</v>
      </c>
      <c r="B115" t="s">
        <v>6</v>
      </c>
      <c r="C115" t="s">
        <v>5</v>
      </c>
      <c r="D115">
        <v>4388</v>
      </c>
      <c r="E115">
        <v>125</v>
      </c>
      <c r="F115">
        <v>548500</v>
      </c>
      <c r="G115">
        <v>97080</v>
      </c>
      <c r="H115">
        <v>451420</v>
      </c>
      <c r="I115" s="19">
        <v>44835</v>
      </c>
      <c r="J115" t="s">
        <v>12</v>
      </c>
      <c r="K115">
        <v>2022</v>
      </c>
    </row>
    <row r="116" spans="1:11" x14ac:dyDescent="0.3">
      <c r="A116" t="s">
        <v>11</v>
      </c>
      <c r="B116" t="s">
        <v>10</v>
      </c>
      <c r="C116" t="s">
        <v>5</v>
      </c>
      <c r="D116">
        <v>2106</v>
      </c>
      <c r="E116">
        <v>125</v>
      </c>
      <c r="F116">
        <v>263250</v>
      </c>
      <c r="G116">
        <v>257400</v>
      </c>
      <c r="H116">
        <v>5850</v>
      </c>
      <c r="I116" s="19">
        <v>44835</v>
      </c>
      <c r="J116" t="s">
        <v>12</v>
      </c>
      <c r="K116">
        <v>2022</v>
      </c>
    </row>
    <row r="117" spans="1:11" x14ac:dyDescent="0.3">
      <c r="A117" t="s">
        <v>16</v>
      </c>
      <c r="B117" t="s">
        <v>15</v>
      </c>
      <c r="C117" t="s">
        <v>5</v>
      </c>
      <c r="D117">
        <v>799</v>
      </c>
      <c r="E117">
        <v>12</v>
      </c>
      <c r="F117">
        <v>9588</v>
      </c>
      <c r="G117">
        <v>5355</v>
      </c>
      <c r="H117">
        <v>4233</v>
      </c>
      <c r="I117" s="19">
        <v>44866</v>
      </c>
      <c r="J117" t="s">
        <v>18</v>
      </c>
      <c r="K117">
        <v>2022</v>
      </c>
    </row>
    <row r="118" spans="1:11" x14ac:dyDescent="0.3">
      <c r="A118" t="s">
        <v>7</v>
      </c>
      <c r="B118" t="s">
        <v>6</v>
      </c>
      <c r="C118" t="s">
        <v>5</v>
      </c>
      <c r="D118">
        <v>3154</v>
      </c>
      <c r="E118">
        <v>300</v>
      </c>
      <c r="F118">
        <v>946200</v>
      </c>
      <c r="G118">
        <v>479000</v>
      </c>
      <c r="H118">
        <v>467200</v>
      </c>
      <c r="I118" s="19">
        <v>45261</v>
      </c>
      <c r="J118" t="s">
        <v>17</v>
      </c>
      <c r="K118">
        <v>2023</v>
      </c>
    </row>
    <row r="119" spans="1:11" x14ac:dyDescent="0.3">
      <c r="A119" t="s">
        <v>7</v>
      </c>
      <c r="B119" t="s">
        <v>6</v>
      </c>
      <c r="C119" t="s">
        <v>5</v>
      </c>
      <c r="D119">
        <v>4108</v>
      </c>
      <c r="E119">
        <v>350</v>
      </c>
      <c r="F119">
        <v>1437800</v>
      </c>
      <c r="G119">
        <v>741520</v>
      </c>
      <c r="H119">
        <v>696280</v>
      </c>
      <c r="I119" s="19">
        <v>45261</v>
      </c>
      <c r="J119" t="s">
        <v>17</v>
      </c>
      <c r="K119">
        <v>2023</v>
      </c>
    </row>
    <row r="120" spans="1:11" x14ac:dyDescent="0.3">
      <c r="A120" t="s">
        <v>7</v>
      </c>
      <c r="B120" t="s">
        <v>6</v>
      </c>
      <c r="C120" t="s">
        <v>5</v>
      </c>
      <c r="D120">
        <v>3760</v>
      </c>
      <c r="E120">
        <v>125</v>
      </c>
      <c r="F120">
        <v>470000</v>
      </c>
      <c r="G120">
        <v>327480</v>
      </c>
      <c r="H120">
        <v>142520</v>
      </c>
      <c r="I120" s="19">
        <v>45261</v>
      </c>
      <c r="J120" t="s">
        <v>17</v>
      </c>
      <c r="K120">
        <v>2023</v>
      </c>
    </row>
    <row r="121" spans="1:11" x14ac:dyDescent="0.3">
      <c r="A121" t="s">
        <v>3</v>
      </c>
      <c r="B121" t="s">
        <v>2</v>
      </c>
      <c r="C121" t="s">
        <v>5</v>
      </c>
      <c r="D121">
        <v>377</v>
      </c>
      <c r="E121">
        <v>15</v>
      </c>
      <c r="F121">
        <v>5655</v>
      </c>
      <c r="G121">
        <v>19250</v>
      </c>
      <c r="H121">
        <v>-13595</v>
      </c>
      <c r="I121" s="19">
        <v>44896</v>
      </c>
      <c r="J121" t="s">
        <v>17</v>
      </c>
      <c r="K121">
        <v>2022</v>
      </c>
    </row>
    <row r="122" spans="1:11" x14ac:dyDescent="0.3">
      <c r="A122" t="s">
        <v>3</v>
      </c>
      <c r="B122" t="s">
        <v>2</v>
      </c>
      <c r="C122" t="s">
        <v>5</v>
      </c>
      <c r="D122">
        <v>2110</v>
      </c>
      <c r="E122">
        <v>7</v>
      </c>
      <c r="F122">
        <v>14770</v>
      </c>
      <c r="G122">
        <v>10065</v>
      </c>
      <c r="H122">
        <v>4705</v>
      </c>
      <c r="I122" s="19">
        <v>44896</v>
      </c>
      <c r="J122" t="s">
        <v>17</v>
      </c>
      <c r="K122">
        <v>2022</v>
      </c>
    </row>
    <row r="123" spans="1:11" x14ac:dyDescent="0.3">
      <c r="A123" t="s">
        <v>16</v>
      </c>
      <c r="B123" t="s">
        <v>15</v>
      </c>
      <c r="C123" t="s">
        <v>5</v>
      </c>
      <c r="D123">
        <v>2334</v>
      </c>
      <c r="E123">
        <v>12</v>
      </c>
      <c r="F123">
        <v>28008</v>
      </c>
      <c r="G123">
        <v>3165</v>
      </c>
      <c r="H123">
        <v>24843</v>
      </c>
      <c r="I123" s="19">
        <v>45261</v>
      </c>
      <c r="J123" t="s">
        <v>17</v>
      </c>
      <c r="K123">
        <v>2023</v>
      </c>
    </row>
    <row r="124" spans="1:11" x14ac:dyDescent="0.3">
      <c r="A124" t="s">
        <v>11</v>
      </c>
      <c r="B124" t="s">
        <v>10</v>
      </c>
      <c r="C124" t="s">
        <v>5</v>
      </c>
      <c r="D124">
        <v>580</v>
      </c>
      <c r="E124">
        <v>12</v>
      </c>
      <c r="F124">
        <v>6960</v>
      </c>
      <c r="G124">
        <v>3252</v>
      </c>
      <c r="H124">
        <v>3708</v>
      </c>
      <c r="I124" s="19">
        <v>45261</v>
      </c>
      <c r="J124" t="s">
        <v>17</v>
      </c>
      <c r="K124">
        <v>2023</v>
      </c>
    </row>
    <row r="125" spans="1:11" x14ac:dyDescent="0.3">
      <c r="A125" t="s">
        <v>3</v>
      </c>
      <c r="B125" t="s">
        <v>2</v>
      </c>
      <c r="C125" t="s">
        <v>21</v>
      </c>
      <c r="D125">
        <v>2610</v>
      </c>
      <c r="E125">
        <v>20</v>
      </c>
      <c r="F125">
        <v>52200</v>
      </c>
      <c r="G125">
        <v>15660</v>
      </c>
      <c r="H125">
        <v>36540</v>
      </c>
      <c r="I125" s="19">
        <v>45200</v>
      </c>
      <c r="J125" t="s">
        <v>12</v>
      </c>
      <c r="K125">
        <v>2023</v>
      </c>
    </row>
    <row r="126" spans="1:11" x14ac:dyDescent="0.3">
      <c r="A126" t="s">
        <v>19</v>
      </c>
      <c r="B126" t="s">
        <v>6</v>
      </c>
      <c r="C126" t="s">
        <v>21</v>
      </c>
      <c r="D126">
        <v>1598</v>
      </c>
      <c r="E126">
        <v>350</v>
      </c>
      <c r="F126">
        <v>559300</v>
      </c>
      <c r="G126">
        <v>771160</v>
      </c>
      <c r="H126">
        <v>-211860</v>
      </c>
      <c r="I126" s="19">
        <v>44835</v>
      </c>
      <c r="J126" t="s">
        <v>12</v>
      </c>
      <c r="K126">
        <v>2022</v>
      </c>
    </row>
    <row r="127" spans="1:11" x14ac:dyDescent="0.3">
      <c r="A127" t="s">
        <v>19</v>
      </c>
      <c r="B127" t="s">
        <v>6</v>
      </c>
      <c r="C127" t="s">
        <v>21</v>
      </c>
      <c r="D127">
        <v>1459</v>
      </c>
      <c r="E127">
        <v>350</v>
      </c>
      <c r="F127">
        <v>510650</v>
      </c>
      <c r="G127">
        <v>748020</v>
      </c>
      <c r="H127">
        <v>-237370</v>
      </c>
      <c r="I127" s="19">
        <v>45200</v>
      </c>
      <c r="J127" t="s">
        <v>12</v>
      </c>
      <c r="K127">
        <v>2023</v>
      </c>
    </row>
    <row r="128" spans="1:11" x14ac:dyDescent="0.3">
      <c r="A128" t="s">
        <v>19</v>
      </c>
      <c r="B128" t="s">
        <v>6</v>
      </c>
      <c r="C128" t="s">
        <v>21</v>
      </c>
      <c r="D128">
        <v>3284</v>
      </c>
      <c r="E128">
        <v>125</v>
      </c>
      <c r="F128">
        <v>410500</v>
      </c>
      <c r="G128">
        <v>97080</v>
      </c>
      <c r="H128">
        <v>313420</v>
      </c>
      <c r="I128" s="19">
        <v>44835</v>
      </c>
      <c r="J128" t="s">
        <v>12</v>
      </c>
      <c r="K128">
        <v>2022</v>
      </c>
    </row>
    <row r="129" spans="1:11" x14ac:dyDescent="0.3">
      <c r="A129" t="s">
        <v>11</v>
      </c>
      <c r="B129" t="s">
        <v>10</v>
      </c>
      <c r="C129" t="s">
        <v>21</v>
      </c>
      <c r="D129">
        <v>1197</v>
      </c>
      <c r="E129">
        <v>125</v>
      </c>
      <c r="F129">
        <v>149625</v>
      </c>
      <c r="G129">
        <v>257400</v>
      </c>
      <c r="H129">
        <v>-107775</v>
      </c>
      <c r="I129" s="19">
        <v>44835</v>
      </c>
      <c r="J129" t="s">
        <v>12</v>
      </c>
      <c r="K129">
        <v>2022</v>
      </c>
    </row>
    <row r="130" spans="1:11" x14ac:dyDescent="0.3">
      <c r="A130" t="s">
        <v>16</v>
      </c>
      <c r="B130" t="s">
        <v>15</v>
      </c>
      <c r="C130" t="s">
        <v>21</v>
      </c>
      <c r="D130">
        <v>3774</v>
      </c>
      <c r="E130">
        <v>12</v>
      </c>
      <c r="F130">
        <v>45288</v>
      </c>
      <c r="G130">
        <v>3165</v>
      </c>
      <c r="H130">
        <v>42123</v>
      </c>
      <c r="I130" s="19">
        <v>45261</v>
      </c>
      <c r="J130" t="s">
        <v>17</v>
      </c>
      <c r="K130">
        <v>2023</v>
      </c>
    </row>
    <row r="131" spans="1:11" x14ac:dyDescent="0.3">
      <c r="A131" t="s">
        <v>11</v>
      </c>
      <c r="B131" t="s">
        <v>10</v>
      </c>
      <c r="C131" t="s">
        <v>21</v>
      </c>
      <c r="D131">
        <v>2303</v>
      </c>
      <c r="E131">
        <v>20</v>
      </c>
      <c r="F131">
        <v>46060</v>
      </c>
      <c r="G131">
        <v>5440</v>
      </c>
      <c r="H131">
        <v>40620</v>
      </c>
      <c r="I131" s="19">
        <v>44896</v>
      </c>
      <c r="J131" t="s">
        <v>17</v>
      </c>
      <c r="K131">
        <v>2022</v>
      </c>
    </row>
    <row r="132" spans="1:11" x14ac:dyDescent="0.3">
      <c r="A132" t="s">
        <v>11</v>
      </c>
      <c r="B132" t="s">
        <v>10</v>
      </c>
      <c r="C132" t="s">
        <v>21</v>
      </c>
      <c r="D132">
        <v>2572</v>
      </c>
      <c r="E132">
        <v>12</v>
      </c>
      <c r="F132">
        <v>30864</v>
      </c>
      <c r="G132">
        <v>3252</v>
      </c>
      <c r="H132">
        <v>27612</v>
      </c>
      <c r="I132" s="19">
        <v>45261</v>
      </c>
      <c r="J132" t="s">
        <v>17</v>
      </c>
      <c r="K132">
        <v>2023</v>
      </c>
    </row>
    <row r="133" spans="1:11" x14ac:dyDescent="0.3">
      <c r="A133" t="s">
        <v>11</v>
      </c>
      <c r="B133" t="s">
        <v>10</v>
      </c>
      <c r="C133" t="s">
        <v>1</v>
      </c>
      <c r="D133">
        <v>320</v>
      </c>
      <c r="E133">
        <v>125</v>
      </c>
      <c r="F133">
        <v>40000</v>
      </c>
      <c r="G133">
        <v>79440</v>
      </c>
      <c r="H133">
        <v>-39440</v>
      </c>
      <c r="I133" s="19">
        <v>45078</v>
      </c>
      <c r="J133" t="s">
        <v>26</v>
      </c>
      <c r="K133">
        <v>2023</v>
      </c>
    </row>
    <row r="134" spans="1:11" x14ac:dyDescent="0.3">
      <c r="A134" t="s">
        <v>19</v>
      </c>
      <c r="B134" t="s">
        <v>6</v>
      </c>
      <c r="C134" t="s">
        <v>1</v>
      </c>
      <c r="D134">
        <v>2126</v>
      </c>
      <c r="E134">
        <v>300</v>
      </c>
      <c r="F134">
        <v>637800</v>
      </c>
      <c r="G134">
        <v>53500</v>
      </c>
      <c r="H134">
        <v>584300</v>
      </c>
      <c r="I134" s="19">
        <v>44835</v>
      </c>
      <c r="J134" t="s">
        <v>12</v>
      </c>
      <c r="K134">
        <v>2022</v>
      </c>
    </row>
    <row r="135" spans="1:11" x14ac:dyDescent="0.3">
      <c r="A135" t="s">
        <v>19</v>
      </c>
      <c r="B135" t="s">
        <v>6</v>
      </c>
      <c r="C135" t="s">
        <v>1</v>
      </c>
      <c r="D135">
        <v>3275</v>
      </c>
      <c r="E135">
        <v>350</v>
      </c>
      <c r="F135">
        <v>1146250</v>
      </c>
      <c r="G135">
        <v>748020</v>
      </c>
      <c r="H135">
        <v>398230</v>
      </c>
      <c r="I135" s="19">
        <v>45200</v>
      </c>
      <c r="J135" t="s">
        <v>12</v>
      </c>
      <c r="K135">
        <v>2023</v>
      </c>
    </row>
    <row r="136" spans="1:11" x14ac:dyDescent="0.3">
      <c r="A136" t="s">
        <v>7</v>
      </c>
      <c r="B136" t="s">
        <v>6</v>
      </c>
      <c r="C136" t="s">
        <v>1</v>
      </c>
      <c r="D136">
        <v>3582</v>
      </c>
      <c r="E136">
        <v>125</v>
      </c>
      <c r="F136">
        <v>447750</v>
      </c>
      <c r="G136">
        <v>327480</v>
      </c>
      <c r="H136">
        <v>120270</v>
      </c>
      <c r="I136" s="19">
        <v>45261</v>
      </c>
      <c r="J136" t="s">
        <v>17</v>
      </c>
      <c r="K136">
        <v>2023</v>
      </c>
    </row>
    <row r="137" spans="1:11" x14ac:dyDescent="0.3">
      <c r="A137" t="s">
        <v>3</v>
      </c>
      <c r="B137" t="s">
        <v>2</v>
      </c>
      <c r="C137" t="s">
        <v>1</v>
      </c>
      <c r="D137">
        <v>783</v>
      </c>
      <c r="E137">
        <v>350</v>
      </c>
      <c r="F137">
        <v>274050</v>
      </c>
      <c r="G137">
        <v>69160</v>
      </c>
      <c r="H137">
        <v>204890</v>
      </c>
      <c r="I137" s="19">
        <v>44896</v>
      </c>
      <c r="J137" t="s">
        <v>17</v>
      </c>
      <c r="K137">
        <v>2022</v>
      </c>
    </row>
    <row r="138" spans="1:11" x14ac:dyDescent="0.3">
      <c r="A138" t="s">
        <v>11</v>
      </c>
      <c r="B138" t="s">
        <v>10</v>
      </c>
      <c r="C138" t="s">
        <v>1</v>
      </c>
      <c r="D138">
        <v>1202</v>
      </c>
      <c r="E138">
        <v>350</v>
      </c>
      <c r="F138">
        <v>420700</v>
      </c>
      <c r="G138">
        <v>504400</v>
      </c>
      <c r="H138">
        <v>-83700</v>
      </c>
      <c r="I138" s="19">
        <v>44896</v>
      </c>
      <c r="J138" t="s">
        <v>17</v>
      </c>
      <c r="K138">
        <v>2022</v>
      </c>
    </row>
    <row r="139" spans="1:11" x14ac:dyDescent="0.3">
      <c r="A139" t="s">
        <v>19</v>
      </c>
      <c r="B139" t="s">
        <v>6</v>
      </c>
      <c r="C139" t="s">
        <v>13</v>
      </c>
      <c r="D139">
        <v>4056</v>
      </c>
      <c r="E139">
        <v>300</v>
      </c>
      <c r="F139">
        <v>1216800</v>
      </c>
      <c r="G139">
        <v>64750</v>
      </c>
      <c r="H139">
        <v>1152050</v>
      </c>
      <c r="I139" s="19">
        <v>44986</v>
      </c>
      <c r="J139" t="s">
        <v>14</v>
      </c>
      <c r="K139">
        <v>2023</v>
      </c>
    </row>
    <row r="140" spans="1:11" x14ac:dyDescent="0.3">
      <c r="A140" t="s">
        <v>11</v>
      </c>
      <c r="B140" t="s">
        <v>10</v>
      </c>
      <c r="C140" t="s">
        <v>13</v>
      </c>
      <c r="D140">
        <v>2144</v>
      </c>
      <c r="E140">
        <v>300</v>
      </c>
      <c r="F140">
        <v>643200</v>
      </c>
      <c r="G140">
        <v>275250</v>
      </c>
      <c r="H140">
        <v>367950</v>
      </c>
      <c r="I140" s="19">
        <v>44986</v>
      </c>
      <c r="J140" t="s">
        <v>14</v>
      </c>
      <c r="K140">
        <v>2023</v>
      </c>
    </row>
    <row r="141" spans="1:11" x14ac:dyDescent="0.3">
      <c r="A141" t="s">
        <v>19</v>
      </c>
      <c r="B141" t="s">
        <v>6</v>
      </c>
      <c r="C141" t="s">
        <v>13</v>
      </c>
      <c r="D141">
        <v>3502</v>
      </c>
      <c r="E141">
        <v>125</v>
      </c>
      <c r="F141">
        <v>437750</v>
      </c>
      <c r="G141">
        <v>273120</v>
      </c>
      <c r="H141">
        <v>164630</v>
      </c>
      <c r="I141" s="19">
        <v>45047</v>
      </c>
      <c r="J141" t="s">
        <v>0</v>
      </c>
      <c r="K141">
        <v>2023</v>
      </c>
    </row>
    <row r="142" spans="1:11" x14ac:dyDescent="0.3">
      <c r="A142" t="s">
        <v>19</v>
      </c>
      <c r="B142" t="s">
        <v>6</v>
      </c>
      <c r="C142" t="s">
        <v>13</v>
      </c>
      <c r="D142">
        <v>1397</v>
      </c>
      <c r="E142">
        <v>350</v>
      </c>
      <c r="F142">
        <v>488950</v>
      </c>
      <c r="G142">
        <v>771160</v>
      </c>
      <c r="H142">
        <v>-282210</v>
      </c>
      <c r="I142" s="19">
        <v>44835</v>
      </c>
      <c r="J142" t="s">
        <v>12</v>
      </c>
      <c r="K142">
        <v>2022</v>
      </c>
    </row>
    <row r="143" spans="1:11" x14ac:dyDescent="0.3">
      <c r="A143" t="s">
        <v>3</v>
      </c>
      <c r="B143" t="s">
        <v>2</v>
      </c>
      <c r="C143" t="s">
        <v>13</v>
      </c>
      <c r="D143">
        <v>679</v>
      </c>
      <c r="E143">
        <v>20</v>
      </c>
      <c r="F143">
        <v>13580</v>
      </c>
      <c r="G143">
        <v>12360</v>
      </c>
      <c r="H143">
        <v>1220</v>
      </c>
      <c r="I143" s="19">
        <v>45231</v>
      </c>
      <c r="J143" t="s">
        <v>18</v>
      </c>
      <c r="K143">
        <v>2023</v>
      </c>
    </row>
    <row r="144" spans="1:11" x14ac:dyDescent="0.3">
      <c r="A144" t="s">
        <v>16</v>
      </c>
      <c r="B144" t="s">
        <v>15</v>
      </c>
      <c r="C144" t="s">
        <v>13</v>
      </c>
      <c r="D144">
        <v>2351</v>
      </c>
      <c r="E144">
        <v>20</v>
      </c>
      <c r="F144">
        <v>47020</v>
      </c>
      <c r="G144">
        <v>9410</v>
      </c>
      <c r="H144">
        <v>37610</v>
      </c>
      <c r="I144" s="19">
        <v>45231</v>
      </c>
      <c r="J144" t="s">
        <v>18</v>
      </c>
      <c r="K144">
        <v>2023</v>
      </c>
    </row>
    <row r="145" spans="1:11" x14ac:dyDescent="0.3">
      <c r="A145" t="s">
        <v>7</v>
      </c>
      <c r="B145" t="s">
        <v>6</v>
      </c>
      <c r="C145" t="s">
        <v>13</v>
      </c>
      <c r="D145">
        <v>2043</v>
      </c>
      <c r="E145">
        <v>300</v>
      </c>
      <c r="F145">
        <v>612900</v>
      </c>
      <c r="G145">
        <v>479000</v>
      </c>
      <c r="H145">
        <v>133900</v>
      </c>
      <c r="I145" s="19">
        <v>45261</v>
      </c>
      <c r="J145" t="s">
        <v>17</v>
      </c>
      <c r="K145">
        <v>2023</v>
      </c>
    </row>
    <row r="146" spans="1:11" x14ac:dyDescent="0.3">
      <c r="A146" t="s">
        <v>16</v>
      </c>
      <c r="B146" t="s">
        <v>15</v>
      </c>
      <c r="C146" t="s">
        <v>24</v>
      </c>
      <c r="D146">
        <v>3565</v>
      </c>
      <c r="E146">
        <v>125</v>
      </c>
      <c r="F146">
        <v>445625</v>
      </c>
      <c r="G146">
        <v>509220</v>
      </c>
      <c r="H146">
        <v>-63595</v>
      </c>
      <c r="I146" s="19">
        <v>45017</v>
      </c>
      <c r="J146" t="s">
        <v>4</v>
      </c>
      <c r="K146">
        <v>2023</v>
      </c>
    </row>
    <row r="147" spans="1:11" x14ac:dyDescent="0.3">
      <c r="A147" t="s">
        <v>19</v>
      </c>
      <c r="B147" t="s">
        <v>6</v>
      </c>
      <c r="C147" t="s">
        <v>24</v>
      </c>
      <c r="D147">
        <v>1401</v>
      </c>
      <c r="E147">
        <v>20</v>
      </c>
      <c r="F147">
        <v>28020</v>
      </c>
      <c r="G147">
        <v>25800</v>
      </c>
      <c r="H147">
        <v>2220</v>
      </c>
      <c r="I147" s="19">
        <v>45017</v>
      </c>
      <c r="J147" t="s">
        <v>4</v>
      </c>
      <c r="K147">
        <v>2023</v>
      </c>
    </row>
    <row r="148" spans="1:11" x14ac:dyDescent="0.3">
      <c r="A148" t="s">
        <v>19</v>
      </c>
      <c r="B148" t="s">
        <v>6</v>
      </c>
      <c r="C148" t="s">
        <v>24</v>
      </c>
      <c r="D148">
        <v>2077</v>
      </c>
      <c r="E148">
        <v>300</v>
      </c>
      <c r="F148">
        <v>623100</v>
      </c>
      <c r="G148">
        <v>172250</v>
      </c>
      <c r="H148">
        <v>450850</v>
      </c>
      <c r="I148" s="19">
        <v>45078</v>
      </c>
      <c r="J148" t="s">
        <v>26</v>
      </c>
      <c r="K148">
        <v>2023</v>
      </c>
    </row>
    <row r="149" spans="1:11" x14ac:dyDescent="0.3">
      <c r="A149" t="s">
        <v>3</v>
      </c>
      <c r="B149" t="s">
        <v>2</v>
      </c>
      <c r="C149" t="s">
        <v>24</v>
      </c>
      <c r="D149">
        <v>3643</v>
      </c>
      <c r="E149">
        <v>12</v>
      </c>
      <c r="F149">
        <v>43716</v>
      </c>
      <c r="G149">
        <v>5841</v>
      </c>
      <c r="H149">
        <v>37875</v>
      </c>
      <c r="I149" s="19">
        <v>45170</v>
      </c>
      <c r="J149" t="s">
        <v>22</v>
      </c>
      <c r="K149">
        <v>2023</v>
      </c>
    </row>
    <row r="150" spans="1:11" x14ac:dyDescent="0.3">
      <c r="A150" t="s">
        <v>7</v>
      </c>
      <c r="B150" t="s">
        <v>6</v>
      </c>
      <c r="C150" t="s">
        <v>24</v>
      </c>
      <c r="D150">
        <v>1105</v>
      </c>
      <c r="E150">
        <v>12</v>
      </c>
      <c r="F150">
        <v>13260</v>
      </c>
      <c r="G150">
        <v>2724</v>
      </c>
      <c r="H150">
        <v>10536</v>
      </c>
      <c r="I150" s="19">
        <v>44896</v>
      </c>
      <c r="J150" t="s">
        <v>17</v>
      </c>
      <c r="K150">
        <v>2022</v>
      </c>
    </row>
    <row r="151" spans="1:11" x14ac:dyDescent="0.3">
      <c r="A151" t="s">
        <v>19</v>
      </c>
      <c r="B151" t="s">
        <v>6</v>
      </c>
      <c r="C151" t="s">
        <v>9</v>
      </c>
      <c r="D151">
        <v>2960</v>
      </c>
      <c r="E151">
        <v>7</v>
      </c>
      <c r="F151">
        <v>20720</v>
      </c>
      <c r="G151">
        <v>9790</v>
      </c>
      <c r="H151">
        <v>10930</v>
      </c>
      <c r="I151" s="19">
        <v>44958</v>
      </c>
      <c r="J151" t="s">
        <v>8</v>
      </c>
      <c r="K151">
        <v>2023</v>
      </c>
    </row>
    <row r="152" spans="1:11" x14ac:dyDescent="0.3">
      <c r="A152" t="s">
        <v>16</v>
      </c>
      <c r="B152" t="s">
        <v>15</v>
      </c>
      <c r="C152" t="s">
        <v>9</v>
      </c>
      <c r="D152">
        <v>1201</v>
      </c>
      <c r="E152">
        <v>12</v>
      </c>
      <c r="F152">
        <v>14412</v>
      </c>
      <c r="G152">
        <v>5703</v>
      </c>
      <c r="H152">
        <v>8709</v>
      </c>
      <c r="I152" s="19">
        <v>45078</v>
      </c>
      <c r="J152" t="s">
        <v>26</v>
      </c>
      <c r="K152">
        <v>2023</v>
      </c>
    </row>
    <row r="153" spans="1:11" x14ac:dyDescent="0.3">
      <c r="A153" t="s">
        <v>16</v>
      </c>
      <c r="B153" t="s">
        <v>15</v>
      </c>
      <c r="C153" t="s">
        <v>9</v>
      </c>
      <c r="D153">
        <v>2321</v>
      </c>
      <c r="E153">
        <v>7</v>
      </c>
      <c r="F153">
        <v>16247</v>
      </c>
      <c r="G153">
        <v>2720</v>
      </c>
      <c r="H153">
        <v>13527</v>
      </c>
      <c r="I153" s="19">
        <v>45170</v>
      </c>
      <c r="J153" t="s">
        <v>22</v>
      </c>
      <c r="K153">
        <v>2023</v>
      </c>
    </row>
    <row r="154" spans="1:11" x14ac:dyDescent="0.3">
      <c r="A154" t="s">
        <v>19</v>
      </c>
      <c r="B154" t="s">
        <v>6</v>
      </c>
      <c r="C154" t="s">
        <v>9</v>
      </c>
      <c r="D154">
        <v>3640</v>
      </c>
      <c r="E154">
        <v>350</v>
      </c>
      <c r="F154">
        <v>1274000</v>
      </c>
      <c r="G154">
        <v>467220</v>
      </c>
      <c r="H154">
        <v>806780</v>
      </c>
      <c r="I154" s="19">
        <v>44805</v>
      </c>
      <c r="J154" t="s">
        <v>22</v>
      </c>
      <c r="K154">
        <v>2022</v>
      </c>
    </row>
    <row r="155" spans="1:11" x14ac:dyDescent="0.3">
      <c r="A155" t="s">
        <v>16</v>
      </c>
      <c r="B155" t="s">
        <v>15</v>
      </c>
      <c r="C155" t="s">
        <v>9</v>
      </c>
      <c r="D155">
        <v>3972</v>
      </c>
      <c r="E155">
        <v>125</v>
      </c>
      <c r="F155">
        <v>496500</v>
      </c>
      <c r="G155">
        <v>154440</v>
      </c>
      <c r="H155">
        <v>342060</v>
      </c>
      <c r="I155" s="19">
        <v>45261</v>
      </c>
      <c r="J155" t="s">
        <v>17</v>
      </c>
      <c r="K155">
        <v>2023</v>
      </c>
    </row>
    <row r="156" spans="1:11" x14ac:dyDescent="0.3">
      <c r="A156" t="s">
        <v>19</v>
      </c>
      <c r="B156" t="s">
        <v>6</v>
      </c>
      <c r="C156" t="s">
        <v>9</v>
      </c>
      <c r="D156">
        <v>3878</v>
      </c>
      <c r="E156">
        <v>125</v>
      </c>
      <c r="F156">
        <v>484750</v>
      </c>
      <c r="G156">
        <v>204720</v>
      </c>
      <c r="H156">
        <v>280030</v>
      </c>
      <c r="I156" s="19">
        <v>45261</v>
      </c>
      <c r="J156" t="s">
        <v>17</v>
      </c>
      <c r="K156">
        <v>2023</v>
      </c>
    </row>
    <row r="157" spans="1:11" x14ac:dyDescent="0.3">
      <c r="A157" t="s">
        <v>16</v>
      </c>
      <c r="B157" t="s">
        <v>15</v>
      </c>
      <c r="C157" t="s">
        <v>5</v>
      </c>
      <c r="D157">
        <v>2278</v>
      </c>
      <c r="E157">
        <v>300</v>
      </c>
      <c r="F157">
        <v>683400</v>
      </c>
      <c r="G157">
        <v>608625</v>
      </c>
      <c r="H157">
        <v>74775</v>
      </c>
      <c r="I157" s="19">
        <v>44927</v>
      </c>
      <c r="J157" t="s">
        <v>25</v>
      </c>
      <c r="K157">
        <v>2023</v>
      </c>
    </row>
    <row r="158" spans="1:11" x14ac:dyDescent="0.3">
      <c r="A158" t="s">
        <v>7</v>
      </c>
      <c r="B158" t="s">
        <v>6</v>
      </c>
      <c r="C158" t="s">
        <v>5</v>
      </c>
      <c r="D158">
        <v>1075</v>
      </c>
      <c r="E158">
        <v>125</v>
      </c>
      <c r="F158">
        <v>134375</v>
      </c>
      <c r="G158">
        <v>212880</v>
      </c>
      <c r="H158">
        <v>-78505</v>
      </c>
      <c r="I158" s="19">
        <v>44986</v>
      </c>
      <c r="J158" t="s">
        <v>14</v>
      </c>
      <c r="K158">
        <v>2023</v>
      </c>
    </row>
    <row r="159" spans="1:11" x14ac:dyDescent="0.3">
      <c r="A159" t="s">
        <v>16</v>
      </c>
      <c r="B159" t="s">
        <v>15</v>
      </c>
      <c r="C159" t="s">
        <v>5</v>
      </c>
      <c r="D159">
        <v>4050</v>
      </c>
      <c r="E159">
        <v>12</v>
      </c>
      <c r="F159">
        <v>48600</v>
      </c>
      <c r="G159">
        <v>5703</v>
      </c>
      <c r="H159">
        <v>42897</v>
      </c>
      <c r="I159" s="19">
        <v>45078</v>
      </c>
      <c r="J159" t="s">
        <v>26</v>
      </c>
      <c r="K159">
        <v>2023</v>
      </c>
    </row>
    <row r="160" spans="1:11" x14ac:dyDescent="0.3">
      <c r="A160" t="s">
        <v>19</v>
      </c>
      <c r="B160" t="s">
        <v>6</v>
      </c>
      <c r="C160" t="s">
        <v>5</v>
      </c>
      <c r="D160">
        <v>3035</v>
      </c>
      <c r="E160">
        <v>300</v>
      </c>
      <c r="F160">
        <v>910500</v>
      </c>
      <c r="G160">
        <v>172250</v>
      </c>
      <c r="H160">
        <v>738250</v>
      </c>
      <c r="I160" s="19">
        <v>45078</v>
      </c>
      <c r="J160" t="s">
        <v>26</v>
      </c>
      <c r="K160">
        <v>2023</v>
      </c>
    </row>
    <row r="161" spans="1:11" x14ac:dyDescent="0.3">
      <c r="A161" t="s">
        <v>19</v>
      </c>
      <c r="B161" t="s">
        <v>6</v>
      </c>
      <c r="C161" t="s">
        <v>5</v>
      </c>
      <c r="D161">
        <v>3636</v>
      </c>
      <c r="E161">
        <v>125</v>
      </c>
      <c r="F161">
        <v>454500</v>
      </c>
      <c r="G161">
        <v>188400</v>
      </c>
      <c r="H161">
        <v>266100</v>
      </c>
      <c r="I161" s="19">
        <v>45078</v>
      </c>
      <c r="J161" t="s">
        <v>26</v>
      </c>
      <c r="K161">
        <v>2023</v>
      </c>
    </row>
    <row r="162" spans="1:11" x14ac:dyDescent="0.3">
      <c r="A162" t="s">
        <v>3</v>
      </c>
      <c r="B162" t="s">
        <v>2</v>
      </c>
      <c r="C162" t="s">
        <v>5</v>
      </c>
      <c r="D162">
        <v>1379</v>
      </c>
      <c r="E162">
        <v>12</v>
      </c>
      <c r="F162">
        <v>16548</v>
      </c>
      <c r="G162">
        <v>4108.5</v>
      </c>
      <c r="H162">
        <v>12439.5</v>
      </c>
      <c r="I162" s="19">
        <v>45108</v>
      </c>
      <c r="J162" t="s">
        <v>20</v>
      </c>
      <c r="K162">
        <v>2023</v>
      </c>
    </row>
    <row r="163" spans="1:11" x14ac:dyDescent="0.3">
      <c r="A163" t="s">
        <v>7</v>
      </c>
      <c r="B163" t="s">
        <v>6</v>
      </c>
      <c r="C163" t="s">
        <v>5</v>
      </c>
      <c r="D163">
        <v>4492</v>
      </c>
      <c r="E163">
        <v>125</v>
      </c>
      <c r="F163">
        <v>561500</v>
      </c>
      <c r="G163">
        <v>241080</v>
      </c>
      <c r="H163">
        <v>320420</v>
      </c>
      <c r="I163" s="19">
        <v>45200</v>
      </c>
      <c r="J163" t="s">
        <v>12</v>
      </c>
      <c r="K163">
        <v>2023</v>
      </c>
    </row>
    <row r="164" spans="1:11" x14ac:dyDescent="0.3">
      <c r="A164" t="s">
        <v>19</v>
      </c>
      <c r="B164" t="s">
        <v>6</v>
      </c>
      <c r="C164" t="s">
        <v>5</v>
      </c>
      <c r="D164">
        <v>764</v>
      </c>
      <c r="E164">
        <v>15</v>
      </c>
      <c r="F164">
        <v>11460</v>
      </c>
      <c r="G164">
        <v>19450</v>
      </c>
      <c r="H164">
        <v>-7990</v>
      </c>
      <c r="I164" s="19">
        <v>44835</v>
      </c>
      <c r="J164" t="s">
        <v>12</v>
      </c>
      <c r="K164">
        <v>2022</v>
      </c>
    </row>
    <row r="165" spans="1:11" x14ac:dyDescent="0.3">
      <c r="A165" t="s">
        <v>16</v>
      </c>
      <c r="B165" t="s">
        <v>15</v>
      </c>
      <c r="C165" t="s">
        <v>5</v>
      </c>
      <c r="D165">
        <v>1744</v>
      </c>
      <c r="E165">
        <v>125</v>
      </c>
      <c r="F165">
        <v>218000</v>
      </c>
      <c r="G165">
        <v>154440</v>
      </c>
      <c r="H165">
        <v>63560</v>
      </c>
      <c r="I165" s="19">
        <v>45261</v>
      </c>
      <c r="J165" t="s">
        <v>17</v>
      </c>
      <c r="K165">
        <v>2023</v>
      </c>
    </row>
    <row r="166" spans="1:11" x14ac:dyDescent="0.3">
      <c r="A166" t="s">
        <v>19</v>
      </c>
      <c r="B166" t="s">
        <v>6</v>
      </c>
      <c r="C166" t="s">
        <v>5</v>
      </c>
      <c r="D166">
        <v>2341</v>
      </c>
      <c r="E166">
        <v>125</v>
      </c>
      <c r="F166">
        <v>292625</v>
      </c>
      <c r="G166">
        <v>204720</v>
      </c>
      <c r="H166">
        <v>87905</v>
      </c>
      <c r="I166" s="19">
        <v>45261</v>
      </c>
      <c r="J166" t="s">
        <v>17</v>
      </c>
      <c r="K166">
        <v>2023</v>
      </c>
    </row>
    <row r="167" spans="1:11" x14ac:dyDescent="0.3">
      <c r="A167" t="s">
        <v>7</v>
      </c>
      <c r="B167" t="s">
        <v>6</v>
      </c>
      <c r="C167" t="s">
        <v>21</v>
      </c>
      <c r="D167">
        <v>3835</v>
      </c>
      <c r="E167">
        <v>125</v>
      </c>
      <c r="F167">
        <v>479375</v>
      </c>
      <c r="G167">
        <v>241080</v>
      </c>
      <c r="H167">
        <v>238295</v>
      </c>
      <c r="I167" s="19">
        <v>45200</v>
      </c>
      <c r="J167" t="s">
        <v>12</v>
      </c>
      <c r="K167">
        <v>2023</v>
      </c>
    </row>
    <row r="168" spans="1:11" x14ac:dyDescent="0.3">
      <c r="A168" t="s">
        <v>3</v>
      </c>
      <c r="B168" t="s">
        <v>2</v>
      </c>
      <c r="C168" t="s">
        <v>1</v>
      </c>
      <c r="D168">
        <v>1161</v>
      </c>
      <c r="E168">
        <v>300</v>
      </c>
      <c r="F168">
        <v>348300</v>
      </c>
      <c r="G168">
        <v>711000</v>
      </c>
      <c r="H168">
        <v>-362700</v>
      </c>
      <c r="I168" s="19">
        <v>44958</v>
      </c>
      <c r="J168" t="s">
        <v>8</v>
      </c>
      <c r="K168">
        <v>2023</v>
      </c>
    </row>
    <row r="169" spans="1:11" x14ac:dyDescent="0.3">
      <c r="A169" t="s">
        <v>11</v>
      </c>
      <c r="B169" t="s">
        <v>10</v>
      </c>
      <c r="C169" t="s">
        <v>1</v>
      </c>
      <c r="D169">
        <v>876</v>
      </c>
      <c r="E169">
        <v>12</v>
      </c>
      <c r="F169">
        <v>10512</v>
      </c>
      <c r="G169">
        <v>5748</v>
      </c>
      <c r="H169">
        <v>4764</v>
      </c>
      <c r="I169" s="19">
        <v>45017</v>
      </c>
      <c r="J169" t="s">
        <v>4</v>
      </c>
      <c r="K169">
        <v>2023</v>
      </c>
    </row>
    <row r="170" spans="1:11" x14ac:dyDescent="0.3">
      <c r="A170" t="s">
        <v>19</v>
      </c>
      <c r="B170" t="s">
        <v>6</v>
      </c>
      <c r="C170" t="s">
        <v>1</v>
      </c>
      <c r="D170">
        <v>1705</v>
      </c>
      <c r="E170">
        <v>125</v>
      </c>
      <c r="F170">
        <v>213125</v>
      </c>
      <c r="G170">
        <v>188400</v>
      </c>
      <c r="H170">
        <v>24725</v>
      </c>
      <c r="I170" s="19">
        <v>45078</v>
      </c>
      <c r="J170" t="s">
        <v>26</v>
      </c>
      <c r="K170">
        <v>2023</v>
      </c>
    </row>
    <row r="171" spans="1:11" x14ac:dyDescent="0.3">
      <c r="A171" t="s">
        <v>7</v>
      </c>
      <c r="B171" t="s">
        <v>6</v>
      </c>
      <c r="C171" t="s">
        <v>1</v>
      </c>
      <c r="D171">
        <v>1805</v>
      </c>
      <c r="E171">
        <v>300</v>
      </c>
      <c r="F171">
        <v>541500</v>
      </c>
      <c r="G171">
        <v>468500</v>
      </c>
      <c r="H171">
        <v>73000</v>
      </c>
      <c r="I171" s="19">
        <v>45139</v>
      </c>
      <c r="J171" t="s">
        <v>23</v>
      </c>
      <c r="K171">
        <v>2023</v>
      </c>
    </row>
    <row r="172" spans="1:11" x14ac:dyDescent="0.3">
      <c r="A172" t="s">
        <v>11</v>
      </c>
      <c r="B172" t="s">
        <v>10</v>
      </c>
      <c r="C172" t="s">
        <v>1</v>
      </c>
      <c r="D172">
        <v>389</v>
      </c>
      <c r="E172">
        <v>350</v>
      </c>
      <c r="F172">
        <v>136150</v>
      </c>
      <c r="G172">
        <v>426920</v>
      </c>
      <c r="H172">
        <v>-290770</v>
      </c>
      <c r="I172" s="19">
        <v>45139</v>
      </c>
      <c r="J172" t="s">
        <v>23</v>
      </c>
      <c r="K172">
        <v>2023</v>
      </c>
    </row>
    <row r="173" spans="1:11" x14ac:dyDescent="0.3">
      <c r="A173" t="s">
        <v>19</v>
      </c>
      <c r="B173" t="s">
        <v>6</v>
      </c>
      <c r="C173" t="s">
        <v>1</v>
      </c>
      <c r="D173">
        <v>2745</v>
      </c>
      <c r="E173">
        <v>15</v>
      </c>
      <c r="F173">
        <v>41175</v>
      </c>
      <c r="G173">
        <v>19450</v>
      </c>
      <c r="H173">
        <v>21725</v>
      </c>
      <c r="I173" s="19">
        <v>44835</v>
      </c>
      <c r="J173" t="s">
        <v>12</v>
      </c>
      <c r="K173">
        <v>2022</v>
      </c>
    </row>
    <row r="174" spans="1:11" x14ac:dyDescent="0.3">
      <c r="A174" t="s">
        <v>7</v>
      </c>
      <c r="B174" t="s">
        <v>6</v>
      </c>
      <c r="C174" t="s">
        <v>24</v>
      </c>
      <c r="D174">
        <v>1459</v>
      </c>
      <c r="E174">
        <v>20</v>
      </c>
      <c r="F174">
        <v>29180</v>
      </c>
      <c r="G174">
        <v>8310</v>
      </c>
      <c r="H174">
        <v>20870</v>
      </c>
      <c r="I174" s="19">
        <v>45047</v>
      </c>
      <c r="J174" t="s">
        <v>0</v>
      </c>
      <c r="K174">
        <v>2023</v>
      </c>
    </row>
    <row r="175" spans="1:11" x14ac:dyDescent="0.3">
      <c r="A175" t="s">
        <v>11</v>
      </c>
      <c r="B175" t="s">
        <v>10</v>
      </c>
      <c r="C175" t="s">
        <v>5</v>
      </c>
      <c r="D175">
        <v>3938</v>
      </c>
      <c r="E175">
        <v>7</v>
      </c>
      <c r="F175">
        <v>27566</v>
      </c>
      <c r="G175">
        <v>8800</v>
      </c>
      <c r="H175">
        <v>18766</v>
      </c>
      <c r="I175" s="19">
        <v>44805</v>
      </c>
      <c r="J175" t="s">
        <v>22</v>
      </c>
      <c r="K175">
        <v>2022</v>
      </c>
    </row>
    <row r="176" spans="1:11" x14ac:dyDescent="0.3">
      <c r="A176" t="s">
        <v>7</v>
      </c>
      <c r="B176" t="s">
        <v>6</v>
      </c>
      <c r="C176" t="s">
        <v>21</v>
      </c>
      <c r="D176">
        <v>4236</v>
      </c>
      <c r="E176">
        <v>20</v>
      </c>
      <c r="F176">
        <v>84720</v>
      </c>
      <c r="G176">
        <v>38505</v>
      </c>
      <c r="H176">
        <v>46215</v>
      </c>
      <c r="I176" s="19">
        <v>45017</v>
      </c>
      <c r="J176" t="s">
        <v>4</v>
      </c>
      <c r="K176">
        <v>2023</v>
      </c>
    </row>
    <row r="177" spans="1:11" x14ac:dyDescent="0.3">
      <c r="A177" t="s">
        <v>19</v>
      </c>
      <c r="B177" t="s">
        <v>6</v>
      </c>
      <c r="C177" t="s">
        <v>1</v>
      </c>
      <c r="D177">
        <v>3627</v>
      </c>
      <c r="E177">
        <v>12</v>
      </c>
      <c r="F177">
        <v>43524</v>
      </c>
      <c r="G177">
        <v>7437</v>
      </c>
      <c r="H177">
        <v>36087</v>
      </c>
      <c r="I177" s="19">
        <v>44927</v>
      </c>
      <c r="J177" t="s">
        <v>25</v>
      </c>
      <c r="K177">
        <v>2023</v>
      </c>
    </row>
    <row r="178" spans="1:11" x14ac:dyDescent="0.3">
      <c r="A178" t="s">
        <v>11</v>
      </c>
      <c r="B178" t="s">
        <v>10</v>
      </c>
      <c r="C178" t="s">
        <v>9</v>
      </c>
      <c r="D178">
        <v>1756</v>
      </c>
      <c r="E178">
        <v>15</v>
      </c>
      <c r="F178">
        <v>26340</v>
      </c>
      <c r="G178">
        <v>20310</v>
      </c>
      <c r="H178">
        <v>6030</v>
      </c>
      <c r="I178" s="19">
        <v>45200</v>
      </c>
      <c r="J178" t="s">
        <v>12</v>
      </c>
      <c r="K178">
        <v>2023</v>
      </c>
    </row>
    <row r="179" spans="1:11" x14ac:dyDescent="0.3">
      <c r="A179" t="s">
        <v>11</v>
      </c>
      <c r="B179" t="s">
        <v>10</v>
      </c>
      <c r="C179" t="s">
        <v>5</v>
      </c>
      <c r="D179">
        <v>307</v>
      </c>
      <c r="E179">
        <v>15</v>
      </c>
      <c r="F179">
        <v>4605</v>
      </c>
      <c r="G179">
        <v>20310</v>
      </c>
      <c r="H179">
        <v>-15705</v>
      </c>
      <c r="I179" s="19">
        <v>45200</v>
      </c>
      <c r="J179" t="s">
        <v>12</v>
      </c>
      <c r="K179">
        <v>2023</v>
      </c>
    </row>
    <row r="180" spans="1:11" x14ac:dyDescent="0.3">
      <c r="A180" t="s">
        <v>16</v>
      </c>
      <c r="B180" t="s">
        <v>15</v>
      </c>
      <c r="C180" t="s">
        <v>5</v>
      </c>
      <c r="D180">
        <v>4489</v>
      </c>
      <c r="E180">
        <v>15</v>
      </c>
      <c r="F180">
        <v>67335</v>
      </c>
      <c r="G180">
        <v>22610</v>
      </c>
      <c r="H180">
        <v>44725</v>
      </c>
      <c r="I180" s="19">
        <v>44896</v>
      </c>
      <c r="J180" t="s">
        <v>17</v>
      </c>
      <c r="K180">
        <v>2022</v>
      </c>
    </row>
    <row r="181" spans="1:11" x14ac:dyDescent="0.3">
      <c r="A181" t="s">
        <v>3</v>
      </c>
      <c r="B181" t="s">
        <v>2</v>
      </c>
      <c r="C181" t="s">
        <v>21</v>
      </c>
      <c r="D181">
        <v>2167</v>
      </c>
      <c r="E181">
        <v>20</v>
      </c>
      <c r="F181">
        <v>43340</v>
      </c>
      <c r="G181">
        <v>7360</v>
      </c>
      <c r="H181">
        <v>35980</v>
      </c>
      <c r="I181" s="19">
        <v>44805</v>
      </c>
      <c r="J181" t="s">
        <v>22</v>
      </c>
      <c r="K181">
        <v>2022</v>
      </c>
    </row>
    <row r="182" spans="1:11" x14ac:dyDescent="0.3">
      <c r="A182" t="s">
        <v>7</v>
      </c>
      <c r="B182" t="s">
        <v>6</v>
      </c>
      <c r="C182" t="s">
        <v>24</v>
      </c>
      <c r="D182">
        <v>1137</v>
      </c>
      <c r="E182">
        <v>7</v>
      </c>
      <c r="F182">
        <v>7959</v>
      </c>
      <c r="G182">
        <v>14255</v>
      </c>
      <c r="H182">
        <v>-6296</v>
      </c>
      <c r="I182" s="19">
        <v>44835</v>
      </c>
      <c r="J182" t="s">
        <v>12</v>
      </c>
      <c r="K182">
        <v>2022</v>
      </c>
    </row>
    <row r="183" spans="1:11" x14ac:dyDescent="0.3">
      <c r="A183" t="s">
        <v>19</v>
      </c>
      <c r="B183" t="s">
        <v>6</v>
      </c>
      <c r="C183" t="s">
        <v>24</v>
      </c>
      <c r="D183">
        <v>1222</v>
      </c>
      <c r="E183">
        <v>300</v>
      </c>
      <c r="F183">
        <v>366600</v>
      </c>
      <c r="G183">
        <v>505250</v>
      </c>
      <c r="H183">
        <v>-138650</v>
      </c>
      <c r="I183" s="19">
        <v>45200</v>
      </c>
      <c r="J183" t="s">
        <v>12</v>
      </c>
      <c r="K183">
        <v>2023</v>
      </c>
    </row>
    <row r="184" spans="1:11" x14ac:dyDescent="0.3">
      <c r="A184" t="s">
        <v>3</v>
      </c>
      <c r="B184" t="s">
        <v>2</v>
      </c>
      <c r="C184" t="s">
        <v>24</v>
      </c>
      <c r="D184">
        <v>489</v>
      </c>
      <c r="E184">
        <v>350</v>
      </c>
      <c r="F184">
        <v>171150</v>
      </c>
      <c r="G184">
        <v>71240</v>
      </c>
      <c r="H184">
        <v>99910</v>
      </c>
      <c r="I184" s="19">
        <v>45261</v>
      </c>
      <c r="J184" t="s">
        <v>17</v>
      </c>
      <c r="K184">
        <v>2023</v>
      </c>
    </row>
    <row r="185" spans="1:11" x14ac:dyDescent="0.3">
      <c r="A185" t="s">
        <v>7</v>
      </c>
      <c r="B185" t="s">
        <v>6</v>
      </c>
      <c r="C185" t="s">
        <v>9</v>
      </c>
      <c r="D185">
        <v>4133</v>
      </c>
      <c r="E185">
        <v>15</v>
      </c>
      <c r="F185">
        <v>61995</v>
      </c>
      <c r="G185">
        <v>19670</v>
      </c>
      <c r="H185">
        <v>42325</v>
      </c>
      <c r="I185" s="19">
        <v>44986</v>
      </c>
      <c r="J185" t="s">
        <v>14</v>
      </c>
      <c r="K185">
        <v>2023</v>
      </c>
    </row>
    <row r="186" spans="1:11" x14ac:dyDescent="0.3">
      <c r="A186" t="s">
        <v>19</v>
      </c>
      <c r="B186" t="s">
        <v>6</v>
      </c>
      <c r="C186" t="s">
        <v>9</v>
      </c>
      <c r="D186">
        <v>2743</v>
      </c>
      <c r="E186">
        <v>300</v>
      </c>
      <c r="F186">
        <v>822900</v>
      </c>
      <c r="G186">
        <v>464750</v>
      </c>
      <c r="H186">
        <v>358150</v>
      </c>
      <c r="I186" s="19">
        <v>45139</v>
      </c>
      <c r="J186" t="s">
        <v>23</v>
      </c>
      <c r="K186">
        <v>2023</v>
      </c>
    </row>
    <row r="187" spans="1:11" x14ac:dyDescent="0.3">
      <c r="A187" t="s">
        <v>7</v>
      </c>
      <c r="B187" t="s">
        <v>6</v>
      </c>
      <c r="C187" t="s">
        <v>9</v>
      </c>
      <c r="D187">
        <v>3699</v>
      </c>
      <c r="E187">
        <v>7</v>
      </c>
      <c r="F187">
        <v>25893</v>
      </c>
      <c r="G187">
        <v>14255</v>
      </c>
      <c r="H187">
        <v>11638</v>
      </c>
      <c r="I187" s="19">
        <v>44835</v>
      </c>
      <c r="J187" t="s">
        <v>12</v>
      </c>
      <c r="K187">
        <v>2022</v>
      </c>
    </row>
    <row r="188" spans="1:11" x14ac:dyDescent="0.3">
      <c r="A188" t="s">
        <v>19</v>
      </c>
      <c r="B188" t="s">
        <v>6</v>
      </c>
      <c r="C188" t="s">
        <v>9</v>
      </c>
      <c r="D188">
        <v>4460</v>
      </c>
      <c r="E188">
        <v>300</v>
      </c>
      <c r="F188">
        <v>1338000</v>
      </c>
      <c r="G188">
        <v>505250</v>
      </c>
      <c r="H188">
        <v>832750</v>
      </c>
      <c r="I188" s="19">
        <v>45200</v>
      </c>
      <c r="J188" t="s">
        <v>12</v>
      </c>
      <c r="K188">
        <v>2023</v>
      </c>
    </row>
    <row r="189" spans="1:11" x14ac:dyDescent="0.3">
      <c r="A189" t="s">
        <v>11</v>
      </c>
      <c r="B189" t="s">
        <v>10</v>
      </c>
      <c r="C189" t="s">
        <v>9</v>
      </c>
      <c r="D189">
        <v>1232</v>
      </c>
      <c r="E189">
        <v>125</v>
      </c>
      <c r="F189">
        <v>154000</v>
      </c>
      <c r="G189">
        <v>136560</v>
      </c>
      <c r="H189">
        <v>17440</v>
      </c>
      <c r="I189" s="19">
        <v>45261</v>
      </c>
      <c r="J189" t="s">
        <v>17</v>
      </c>
      <c r="K189">
        <v>2023</v>
      </c>
    </row>
    <row r="190" spans="1:11" x14ac:dyDescent="0.3">
      <c r="A190" t="s">
        <v>7</v>
      </c>
      <c r="B190" t="s">
        <v>6</v>
      </c>
      <c r="C190" t="s">
        <v>5</v>
      </c>
      <c r="D190">
        <v>2586</v>
      </c>
      <c r="E190">
        <v>7</v>
      </c>
      <c r="F190">
        <v>18102</v>
      </c>
      <c r="G190">
        <v>21255</v>
      </c>
      <c r="H190">
        <v>-3153</v>
      </c>
      <c r="I190" s="19">
        <v>44927</v>
      </c>
      <c r="J190" t="s">
        <v>25</v>
      </c>
      <c r="K190">
        <v>2023</v>
      </c>
    </row>
    <row r="191" spans="1:11" x14ac:dyDescent="0.3">
      <c r="A191" t="s">
        <v>19</v>
      </c>
      <c r="B191" t="s">
        <v>6</v>
      </c>
      <c r="C191" t="s">
        <v>5</v>
      </c>
      <c r="D191">
        <v>1332</v>
      </c>
      <c r="E191">
        <v>125</v>
      </c>
      <c r="F191">
        <v>166500</v>
      </c>
      <c r="G191">
        <v>95400</v>
      </c>
      <c r="H191">
        <v>71100</v>
      </c>
      <c r="I191" s="19">
        <v>44986</v>
      </c>
      <c r="J191" t="s">
        <v>14</v>
      </c>
      <c r="K191">
        <v>2023</v>
      </c>
    </row>
    <row r="192" spans="1:11" x14ac:dyDescent="0.3">
      <c r="A192" t="s">
        <v>19</v>
      </c>
      <c r="B192" t="s">
        <v>6</v>
      </c>
      <c r="C192" t="s">
        <v>5</v>
      </c>
      <c r="D192">
        <v>4487</v>
      </c>
      <c r="E192">
        <v>300</v>
      </c>
      <c r="F192">
        <v>1346100</v>
      </c>
      <c r="G192">
        <v>353625</v>
      </c>
      <c r="H192">
        <v>992475</v>
      </c>
      <c r="I192" s="19">
        <v>45017</v>
      </c>
      <c r="J192" t="s">
        <v>4</v>
      </c>
      <c r="K192">
        <v>2023</v>
      </c>
    </row>
    <row r="193" spans="1:11" x14ac:dyDescent="0.3">
      <c r="A193" t="s">
        <v>3</v>
      </c>
      <c r="B193" t="s">
        <v>2</v>
      </c>
      <c r="C193" t="s">
        <v>5</v>
      </c>
      <c r="D193">
        <v>3862</v>
      </c>
      <c r="E193">
        <v>300</v>
      </c>
      <c r="F193">
        <v>1158600</v>
      </c>
      <c r="G193">
        <v>729500</v>
      </c>
      <c r="H193">
        <v>429100</v>
      </c>
      <c r="I193" s="19">
        <v>45047</v>
      </c>
      <c r="J193" t="s">
        <v>0</v>
      </c>
      <c r="K193">
        <v>2023</v>
      </c>
    </row>
    <row r="194" spans="1:11" x14ac:dyDescent="0.3">
      <c r="A194" t="s">
        <v>3</v>
      </c>
      <c r="B194" t="s">
        <v>2</v>
      </c>
      <c r="C194" t="s">
        <v>5</v>
      </c>
      <c r="D194">
        <v>1765</v>
      </c>
      <c r="E194">
        <v>350</v>
      </c>
      <c r="F194">
        <v>617750</v>
      </c>
      <c r="G194">
        <v>897000</v>
      </c>
      <c r="H194">
        <v>-279250</v>
      </c>
      <c r="I194" s="19">
        <v>45108</v>
      </c>
      <c r="J194" t="s">
        <v>20</v>
      </c>
      <c r="K194">
        <v>2023</v>
      </c>
    </row>
    <row r="195" spans="1:11" x14ac:dyDescent="0.3">
      <c r="A195" t="s">
        <v>16</v>
      </c>
      <c r="B195" t="s">
        <v>15</v>
      </c>
      <c r="C195" t="s">
        <v>5</v>
      </c>
      <c r="D195">
        <v>3533</v>
      </c>
      <c r="E195">
        <v>125</v>
      </c>
      <c r="F195">
        <v>441625</v>
      </c>
      <c r="G195">
        <v>358560</v>
      </c>
      <c r="H195">
        <v>83065</v>
      </c>
      <c r="I195" s="19">
        <v>45108</v>
      </c>
      <c r="J195" t="s">
        <v>20</v>
      </c>
      <c r="K195">
        <v>2023</v>
      </c>
    </row>
    <row r="196" spans="1:11" x14ac:dyDescent="0.3">
      <c r="A196" t="s">
        <v>7</v>
      </c>
      <c r="B196" t="s">
        <v>6</v>
      </c>
      <c r="C196" t="s">
        <v>5</v>
      </c>
      <c r="D196">
        <v>2016</v>
      </c>
      <c r="E196">
        <v>15</v>
      </c>
      <c r="F196">
        <v>30240</v>
      </c>
      <c r="G196">
        <v>2180</v>
      </c>
      <c r="H196">
        <v>28060</v>
      </c>
      <c r="I196" s="19">
        <v>45170</v>
      </c>
      <c r="J196" t="s">
        <v>22</v>
      </c>
      <c r="K196">
        <v>2023</v>
      </c>
    </row>
    <row r="197" spans="1:11" x14ac:dyDescent="0.3">
      <c r="A197" t="s">
        <v>7</v>
      </c>
      <c r="B197" t="s">
        <v>6</v>
      </c>
      <c r="C197" t="s">
        <v>5</v>
      </c>
      <c r="D197">
        <v>2938</v>
      </c>
      <c r="E197">
        <v>20</v>
      </c>
      <c r="F197">
        <v>58760</v>
      </c>
      <c r="G197">
        <v>20740</v>
      </c>
      <c r="H197">
        <v>38020</v>
      </c>
      <c r="I197" s="19">
        <v>45170</v>
      </c>
      <c r="J197" t="s">
        <v>22</v>
      </c>
      <c r="K197">
        <v>2023</v>
      </c>
    </row>
    <row r="198" spans="1:11" x14ac:dyDescent="0.3">
      <c r="A198" t="s">
        <v>3</v>
      </c>
      <c r="B198" t="s">
        <v>2</v>
      </c>
      <c r="C198" t="s">
        <v>5</v>
      </c>
      <c r="D198">
        <v>3352</v>
      </c>
      <c r="E198">
        <v>20</v>
      </c>
      <c r="F198">
        <v>67040</v>
      </c>
      <c r="G198">
        <v>10560</v>
      </c>
      <c r="H198">
        <v>56480</v>
      </c>
      <c r="I198" s="19">
        <v>45170</v>
      </c>
      <c r="J198" t="s">
        <v>22</v>
      </c>
      <c r="K198">
        <v>2023</v>
      </c>
    </row>
    <row r="199" spans="1:11" x14ac:dyDescent="0.3">
      <c r="A199" t="s">
        <v>3</v>
      </c>
      <c r="B199" t="s">
        <v>2</v>
      </c>
      <c r="C199" t="s">
        <v>5</v>
      </c>
      <c r="D199">
        <v>4409</v>
      </c>
      <c r="E199">
        <v>15</v>
      </c>
      <c r="F199">
        <v>66135</v>
      </c>
      <c r="G199">
        <v>6710</v>
      </c>
      <c r="H199">
        <v>59425</v>
      </c>
      <c r="I199" s="19">
        <v>44835</v>
      </c>
      <c r="J199" t="s">
        <v>12</v>
      </c>
      <c r="K199">
        <v>2022</v>
      </c>
    </row>
    <row r="200" spans="1:11" x14ac:dyDescent="0.3">
      <c r="A200" t="s">
        <v>11</v>
      </c>
      <c r="B200" t="s">
        <v>10</v>
      </c>
      <c r="C200" t="s">
        <v>5</v>
      </c>
      <c r="D200">
        <v>3323</v>
      </c>
      <c r="E200">
        <v>15</v>
      </c>
      <c r="F200">
        <v>49845</v>
      </c>
      <c r="G200">
        <v>15140</v>
      </c>
      <c r="H200">
        <v>34705</v>
      </c>
      <c r="I200" s="19">
        <v>44835</v>
      </c>
      <c r="J200" t="s">
        <v>12</v>
      </c>
      <c r="K200">
        <v>2022</v>
      </c>
    </row>
    <row r="201" spans="1:11" x14ac:dyDescent="0.3">
      <c r="A201" t="s">
        <v>3</v>
      </c>
      <c r="B201" t="s">
        <v>2</v>
      </c>
      <c r="C201" t="s">
        <v>5</v>
      </c>
      <c r="D201">
        <v>2430</v>
      </c>
      <c r="E201">
        <v>350</v>
      </c>
      <c r="F201">
        <v>850500</v>
      </c>
      <c r="G201">
        <v>71240</v>
      </c>
      <c r="H201">
        <v>779260</v>
      </c>
      <c r="I201" s="19">
        <v>45261</v>
      </c>
      <c r="J201" t="s">
        <v>17</v>
      </c>
      <c r="K201">
        <v>2023</v>
      </c>
    </row>
    <row r="202" spans="1:11" x14ac:dyDescent="0.3">
      <c r="A202" t="s">
        <v>11</v>
      </c>
      <c r="B202" t="s">
        <v>10</v>
      </c>
      <c r="C202" t="s">
        <v>5</v>
      </c>
      <c r="D202">
        <v>535</v>
      </c>
      <c r="E202">
        <v>125</v>
      </c>
      <c r="F202">
        <v>66875</v>
      </c>
      <c r="G202">
        <v>136560</v>
      </c>
      <c r="H202">
        <v>-69685</v>
      </c>
      <c r="I202" s="19">
        <v>45261</v>
      </c>
      <c r="J202" t="s">
        <v>17</v>
      </c>
      <c r="K202">
        <v>2023</v>
      </c>
    </row>
    <row r="203" spans="1:11" x14ac:dyDescent="0.3">
      <c r="A203" t="s">
        <v>3</v>
      </c>
      <c r="B203" t="s">
        <v>2</v>
      </c>
      <c r="C203" t="s">
        <v>21</v>
      </c>
      <c r="D203">
        <v>1523</v>
      </c>
      <c r="E203">
        <v>12</v>
      </c>
      <c r="F203">
        <v>18276</v>
      </c>
      <c r="G203">
        <v>4395</v>
      </c>
      <c r="H203">
        <v>13881</v>
      </c>
      <c r="I203" s="19">
        <v>44986</v>
      </c>
      <c r="J203" t="s">
        <v>14</v>
      </c>
      <c r="K203">
        <v>2023</v>
      </c>
    </row>
    <row r="204" spans="1:11" x14ac:dyDescent="0.3">
      <c r="A204" t="s">
        <v>7</v>
      </c>
      <c r="B204" t="s">
        <v>6</v>
      </c>
      <c r="C204" t="s">
        <v>21</v>
      </c>
      <c r="D204">
        <v>3631</v>
      </c>
      <c r="E204">
        <v>20</v>
      </c>
      <c r="F204">
        <v>72620</v>
      </c>
      <c r="G204">
        <v>26460</v>
      </c>
      <c r="H204">
        <v>46160</v>
      </c>
      <c r="I204" s="19">
        <v>44805</v>
      </c>
      <c r="J204" t="s">
        <v>22</v>
      </c>
      <c r="K204">
        <v>2022</v>
      </c>
    </row>
    <row r="205" spans="1:11" x14ac:dyDescent="0.3">
      <c r="A205" t="s">
        <v>16</v>
      </c>
      <c r="B205" t="s">
        <v>15</v>
      </c>
      <c r="C205" t="s">
        <v>21</v>
      </c>
      <c r="D205">
        <v>1782</v>
      </c>
      <c r="E205">
        <v>350</v>
      </c>
      <c r="F205">
        <v>623700</v>
      </c>
      <c r="G205">
        <v>566020</v>
      </c>
      <c r="H205">
        <v>57680</v>
      </c>
      <c r="I205" s="19">
        <v>45200</v>
      </c>
      <c r="J205" t="s">
        <v>12</v>
      </c>
      <c r="K205">
        <v>2023</v>
      </c>
    </row>
    <row r="206" spans="1:11" x14ac:dyDescent="0.3">
      <c r="A206" t="s">
        <v>16</v>
      </c>
      <c r="B206" t="s">
        <v>15</v>
      </c>
      <c r="C206" t="s">
        <v>1</v>
      </c>
      <c r="D206">
        <v>347</v>
      </c>
      <c r="E206">
        <v>12</v>
      </c>
      <c r="F206">
        <v>4164</v>
      </c>
      <c r="G206">
        <v>2598</v>
      </c>
      <c r="H206">
        <v>1566</v>
      </c>
      <c r="I206" s="19">
        <v>45047</v>
      </c>
      <c r="J206" t="s">
        <v>0</v>
      </c>
      <c r="K206">
        <v>2023</v>
      </c>
    </row>
    <row r="207" spans="1:11" x14ac:dyDescent="0.3">
      <c r="A207" t="s">
        <v>3</v>
      </c>
      <c r="B207" t="s">
        <v>2</v>
      </c>
      <c r="C207" t="s">
        <v>1</v>
      </c>
      <c r="D207">
        <v>4147</v>
      </c>
      <c r="E207">
        <v>350</v>
      </c>
      <c r="F207">
        <v>1451450</v>
      </c>
      <c r="G207">
        <v>90740</v>
      </c>
      <c r="H207">
        <v>1360710</v>
      </c>
      <c r="I207" s="19">
        <v>44805</v>
      </c>
      <c r="J207" t="s">
        <v>22</v>
      </c>
      <c r="K207">
        <v>2022</v>
      </c>
    </row>
    <row r="208" spans="1:11" x14ac:dyDescent="0.3">
      <c r="A208" t="s">
        <v>16</v>
      </c>
      <c r="B208" t="s">
        <v>15</v>
      </c>
      <c r="C208" t="s">
        <v>1</v>
      </c>
      <c r="D208">
        <v>3509</v>
      </c>
      <c r="E208">
        <v>350</v>
      </c>
      <c r="F208">
        <v>1228150</v>
      </c>
      <c r="G208">
        <v>566020</v>
      </c>
      <c r="H208">
        <v>662130</v>
      </c>
      <c r="I208" s="19">
        <v>45200</v>
      </c>
      <c r="J208" t="s">
        <v>12</v>
      </c>
      <c r="K208">
        <v>2023</v>
      </c>
    </row>
    <row r="209" spans="1:11" x14ac:dyDescent="0.3">
      <c r="A209" t="s">
        <v>11</v>
      </c>
      <c r="B209" t="s">
        <v>10</v>
      </c>
      <c r="C209" t="s">
        <v>1</v>
      </c>
      <c r="D209">
        <v>2774</v>
      </c>
      <c r="E209">
        <v>15</v>
      </c>
      <c r="F209">
        <v>41610</v>
      </c>
      <c r="G209">
        <v>15140</v>
      </c>
      <c r="H209">
        <v>26470</v>
      </c>
      <c r="I209" s="19">
        <v>44835</v>
      </c>
      <c r="J209" t="s">
        <v>12</v>
      </c>
      <c r="K209">
        <v>2022</v>
      </c>
    </row>
    <row r="210" spans="1:11" x14ac:dyDescent="0.3">
      <c r="A210" t="s">
        <v>11</v>
      </c>
      <c r="B210" t="s">
        <v>10</v>
      </c>
      <c r="C210" t="s">
        <v>13</v>
      </c>
      <c r="D210">
        <v>2943</v>
      </c>
      <c r="E210">
        <v>350</v>
      </c>
      <c r="F210">
        <v>1030050</v>
      </c>
      <c r="G210">
        <v>484900</v>
      </c>
      <c r="H210">
        <v>545150</v>
      </c>
      <c r="I210" s="19">
        <v>44958</v>
      </c>
      <c r="J210" t="s">
        <v>8</v>
      </c>
      <c r="K210">
        <v>2023</v>
      </c>
    </row>
    <row r="211" spans="1:11" x14ac:dyDescent="0.3">
      <c r="A211" t="s">
        <v>11</v>
      </c>
      <c r="B211" t="s">
        <v>10</v>
      </c>
      <c r="C211" t="s">
        <v>13</v>
      </c>
      <c r="D211">
        <v>4037</v>
      </c>
      <c r="E211">
        <v>125</v>
      </c>
      <c r="F211">
        <v>504625</v>
      </c>
      <c r="G211">
        <v>128880</v>
      </c>
      <c r="H211">
        <v>375745</v>
      </c>
      <c r="I211" s="19">
        <v>45017</v>
      </c>
      <c r="J211" t="s">
        <v>4</v>
      </c>
      <c r="K211">
        <v>2023</v>
      </c>
    </row>
    <row r="212" spans="1:11" x14ac:dyDescent="0.3">
      <c r="A212" t="s">
        <v>19</v>
      </c>
      <c r="B212" t="s">
        <v>6</v>
      </c>
      <c r="C212" t="s">
        <v>13</v>
      </c>
      <c r="D212">
        <v>4146</v>
      </c>
      <c r="E212">
        <v>350</v>
      </c>
      <c r="F212">
        <v>1451100</v>
      </c>
      <c r="G212">
        <v>495820</v>
      </c>
      <c r="H212">
        <v>955280</v>
      </c>
      <c r="I212" s="19">
        <v>45170</v>
      </c>
      <c r="J212" t="s">
        <v>22</v>
      </c>
      <c r="K212">
        <v>2023</v>
      </c>
    </row>
    <row r="213" spans="1:11" x14ac:dyDescent="0.3">
      <c r="A213" t="s">
        <v>3</v>
      </c>
      <c r="B213" t="s">
        <v>2</v>
      </c>
      <c r="C213" t="s">
        <v>13</v>
      </c>
      <c r="D213">
        <v>4123</v>
      </c>
      <c r="E213">
        <v>15</v>
      </c>
      <c r="F213">
        <v>61845</v>
      </c>
      <c r="G213">
        <v>6710</v>
      </c>
      <c r="H213">
        <v>55135</v>
      </c>
      <c r="I213" s="19">
        <v>44835</v>
      </c>
      <c r="J213" t="s">
        <v>12</v>
      </c>
      <c r="K213">
        <v>2022</v>
      </c>
    </row>
    <row r="214" spans="1:11" x14ac:dyDescent="0.3">
      <c r="A214" t="s">
        <v>7</v>
      </c>
      <c r="B214" t="s">
        <v>6</v>
      </c>
      <c r="C214" t="s">
        <v>13</v>
      </c>
      <c r="D214">
        <v>1337</v>
      </c>
      <c r="E214">
        <v>350</v>
      </c>
      <c r="F214">
        <v>467950</v>
      </c>
      <c r="G214">
        <v>462280</v>
      </c>
      <c r="H214">
        <v>5670</v>
      </c>
      <c r="I214" s="19">
        <v>44896</v>
      </c>
      <c r="J214" t="s">
        <v>17</v>
      </c>
      <c r="K214">
        <v>2022</v>
      </c>
    </row>
    <row r="215" spans="1:11" x14ac:dyDescent="0.3">
      <c r="A215" t="s">
        <v>19</v>
      </c>
      <c r="B215" t="s">
        <v>6</v>
      </c>
      <c r="C215" t="s">
        <v>9</v>
      </c>
      <c r="D215">
        <v>599</v>
      </c>
      <c r="E215">
        <v>7</v>
      </c>
      <c r="F215">
        <v>4193</v>
      </c>
      <c r="G215">
        <v>5795</v>
      </c>
      <c r="H215">
        <v>-1602</v>
      </c>
      <c r="I215" s="19">
        <v>44835</v>
      </c>
      <c r="J215" t="s">
        <v>12</v>
      </c>
      <c r="K215">
        <v>2022</v>
      </c>
    </row>
    <row r="216" spans="1:11" x14ac:dyDescent="0.3">
      <c r="A216" t="s">
        <v>19</v>
      </c>
      <c r="B216" t="s">
        <v>6</v>
      </c>
      <c r="C216" t="s">
        <v>5</v>
      </c>
      <c r="D216">
        <v>725</v>
      </c>
      <c r="E216">
        <v>7</v>
      </c>
      <c r="F216">
        <v>5075</v>
      </c>
      <c r="G216">
        <v>6860</v>
      </c>
      <c r="H216">
        <v>-1785</v>
      </c>
      <c r="I216" s="19">
        <v>44927</v>
      </c>
      <c r="J216" t="s">
        <v>25</v>
      </c>
      <c r="K216">
        <v>2023</v>
      </c>
    </row>
    <row r="217" spans="1:11" x14ac:dyDescent="0.3">
      <c r="A217" t="s">
        <v>7</v>
      </c>
      <c r="B217" t="s">
        <v>6</v>
      </c>
      <c r="C217" t="s">
        <v>5</v>
      </c>
      <c r="D217">
        <v>477</v>
      </c>
      <c r="E217">
        <v>7</v>
      </c>
      <c r="F217">
        <v>3339</v>
      </c>
      <c r="G217">
        <v>11745</v>
      </c>
      <c r="H217">
        <v>-8406</v>
      </c>
      <c r="I217" s="19">
        <v>44805</v>
      </c>
      <c r="J217" t="s">
        <v>22</v>
      </c>
      <c r="K217">
        <v>2022</v>
      </c>
    </row>
    <row r="218" spans="1:11" x14ac:dyDescent="0.3">
      <c r="A218" t="s">
        <v>11</v>
      </c>
      <c r="B218" t="s">
        <v>10</v>
      </c>
      <c r="C218" t="s">
        <v>5</v>
      </c>
      <c r="D218">
        <v>2325</v>
      </c>
      <c r="E218">
        <v>7</v>
      </c>
      <c r="F218">
        <v>16275</v>
      </c>
      <c r="G218">
        <v>13445</v>
      </c>
      <c r="H218">
        <v>2830</v>
      </c>
      <c r="I218" s="19">
        <v>45200</v>
      </c>
      <c r="J218" t="s">
        <v>12</v>
      </c>
      <c r="K218">
        <v>2023</v>
      </c>
    </row>
    <row r="219" spans="1:11" x14ac:dyDescent="0.3">
      <c r="A219" t="s">
        <v>7</v>
      </c>
      <c r="B219" t="s">
        <v>6</v>
      </c>
      <c r="C219" t="s">
        <v>5</v>
      </c>
      <c r="D219">
        <v>675</v>
      </c>
      <c r="E219">
        <v>12</v>
      </c>
      <c r="F219">
        <v>8100</v>
      </c>
      <c r="G219">
        <v>7293</v>
      </c>
      <c r="H219">
        <v>807</v>
      </c>
      <c r="I219" s="19">
        <v>45261</v>
      </c>
      <c r="J219" t="s">
        <v>17</v>
      </c>
      <c r="K219">
        <v>2023</v>
      </c>
    </row>
    <row r="220" spans="1:11" x14ac:dyDescent="0.3">
      <c r="A220" t="s">
        <v>7</v>
      </c>
      <c r="B220" t="s">
        <v>6</v>
      </c>
      <c r="C220" t="s">
        <v>21</v>
      </c>
      <c r="D220">
        <v>2990</v>
      </c>
      <c r="E220">
        <v>12</v>
      </c>
      <c r="F220">
        <v>35880</v>
      </c>
      <c r="G220">
        <v>7293</v>
      </c>
      <c r="H220">
        <v>28587</v>
      </c>
      <c r="I220" s="19">
        <v>45261</v>
      </c>
      <c r="J220" t="s">
        <v>17</v>
      </c>
      <c r="K220">
        <v>2023</v>
      </c>
    </row>
    <row r="221" spans="1:11" x14ac:dyDescent="0.3">
      <c r="A221" t="s">
        <v>11</v>
      </c>
      <c r="B221" t="s">
        <v>10</v>
      </c>
      <c r="C221" t="s">
        <v>1</v>
      </c>
      <c r="D221">
        <v>1072</v>
      </c>
      <c r="E221">
        <v>7</v>
      </c>
      <c r="F221">
        <v>7504</v>
      </c>
      <c r="G221">
        <v>13445</v>
      </c>
      <c r="H221">
        <v>-5941</v>
      </c>
      <c r="I221" s="19">
        <v>45200</v>
      </c>
      <c r="J221" t="s">
        <v>12</v>
      </c>
      <c r="K221">
        <v>2023</v>
      </c>
    </row>
    <row r="222" spans="1:11" x14ac:dyDescent="0.3">
      <c r="A222" t="s">
        <v>11</v>
      </c>
      <c r="B222" t="s">
        <v>10</v>
      </c>
      <c r="C222" t="s">
        <v>13</v>
      </c>
      <c r="D222">
        <v>1048</v>
      </c>
      <c r="E222">
        <v>7</v>
      </c>
      <c r="F222">
        <v>7336</v>
      </c>
      <c r="G222">
        <v>8415</v>
      </c>
      <c r="H222">
        <v>-1079</v>
      </c>
      <c r="I222" s="19">
        <v>45108</v>
      </c>
      <c r="J222" t="s">
        <v>20</v>
      </c>
      <c r="K222">
        <v>2023</v>
      </c>
    </row>
    <row r="223" spans="1:11" x14ac:dyDescent="0.3">
      <c r="A223" t="s">
        <v>11</v>
      </c>
      <c r="B223" t="s">
        <v>10</v>
      </c>
      <c r="C223" t="s">
        <v>13</v>
      </c>
      <c r="D223">
        <v>469</v>
      </c>
      <c r="E223">
        <v>12</v>
      </c>
      <c r="F223">
        <v>5628</v>
      </c>
      <c r="G223">
        <v>3369</v>
      </c>
      <c r="H223">
        <v>2259</v>
      </c>
      <c r="I223" s="19">
        <v>45139</v>
      </c>
      <c r="J223" t="s">
        <v>23</v>
      </c>
      <c r="K223">
        <v>2023</v>
      </c>
    </row>
    <row r="224" spans="1:11" x14ac:dyDescent="0.3">
      <c r="A224" t="s">
        <v>19</v>
      </c>
      <c r="B224" t="s">
        <v>6</v>
      </c>
      <c r="C224" t="s">
        <v>13</v>
      </c>
      <c r="D224">
        <v>804</v>
      </c>
      <c r="E224">
        <v>7</v>
      </c>
      <c r="F224">
        <v>5628</v>
      </c>
      <c r="G224">
        <v>5795</v>
      </c>
      <c r="H224">
        <v>-167</v>
      </c>
      <c r="I224" s="19">
        <v>44835</v>
      </c>
      <c r="J224" t="s">
        <v>12</v>
      </c>
      <c r="K224">
        <v>2022</v>
      </c>
    </row>
    <row r="225" spans="1:11" x14ac:dyDescent="0.3">
      <c r="A225" t="s">
        <v>16</v>
      </c>
      <c r="B225" t="s">
        <v>15</v>
      </c>
      <c r="C225" t="s">
        <v>24</v>
      </c>
      <c r="D225">
        <v>4240</v>
      </c>
      <c r="E225">
        <v>12</v>
      </c>
      <c r="F225">
        <v>50880</v>
      </c>
      <c r="G225">
        <v>5595</v>
      </c>
      <c r="H225">
        <v>45285</v>
      </c>
      <c r="I225" s="19">
        <v>44958</v>
      </c>
      <c r="J225" t="s">
        <v>8</v>
      </c>
      <c r="K225">
        <v>2023</v>
      </c>
    </row>
    <row r="226" spans="1:11" x14ac:dyDescent="0.3">
      <c r="A226" t="s">
        <v>19</v>
      </c>
      <c r="B226" t="s">
        <v>6</v>
      </c>
      <c r="C226" t="s">
        <v>24</v>
      </c>
      <c r="D226">
        <v>1976</v>
      </c>
      <c r="E226">
        <v>12</v>
      </c>
      <c r="F226">
        <v>23712</v>
      </c>
      <c r="G226">
        <v>3348</v>
      </c>
      <c r="H226">
        <v>20364</v>
      </c>
      <c r="I226" s="19">
        <v>44958</v>
      </c>
      <c r="J226" t="s">
        <v>8</v>
      </c>
      <c r="K226">
        <v>2023</v>
      </c>
    </row>
    <row r="227" spans="1:11" x14ac:dyDescent="0.3">
      <c r="A227" t="s">
        <v>16</v>
      </c>
      <c r="B227" t="s">
        <v>15</v>
      </c>
      <c r="C227" t="s">
        <v>24</v>
      </c>
      <c r="D227">
        <v>1984</v>
      </c>
      <c r="E227">
        <v>20</v>
      </c>
      <c r="F227">
        <v>39680</v>
      </c>
      <c r="G227">
        <v>15630</v>
      </c>
      <c r="H227">
        <v>24050</v>
      </c>
      <c r="I227" s="19">
        <v>45047</v>
      </c>
      <c r="J227" t="s">
        <v>0</v>
      </c>
      <c r="K227">
        <v>2023</v>
      </c>
    </row>
    <row r="228" spans="1:11" x14ac:dyDescent="0.3">
      <c r="A228" t="s">
        <v>3</v>
      </c>
      <c r="B228" t="s">
        <v>2</v>
      </c>
      <c r="C228" t="s">
        <v>24</v>
      </c>
      <c r="D228">
        <v>480</v>
      </c>
      <c r="E228">
        <v>300</v>
      </c>
      <c r="F228">
        <v>144000</v>
      </c>
      <c r="G228">
        <v>247750</v>
      </c>
      <c r="H228">
        <v>-103750</v>
      </c>
      <c r="I228" s="19">
        <v>45078</v>
      </c>
      <c r="J228" t="s">
        <v>26</v>
      </c>
      <c r="K228">
        <v>2023</v>
      </c>
    </row>
    <row r="229" spans="1:11" x14ac:dyDescent="0.3">
      <c r="A229" t="s">
        <v>19</v>
      </c>
      <c r="B229" t="s">
        <v>6</v>
      </c>
      <c r="C229" t="s">
        <v>24</v>
      </c>
      <c r="D229">
        <v>3551</v>
      </c>
      <c r="E229">
        <v>7</v>
      </c>
      <c r="F229">
        <v>24857</v>
      </c>
      <c r="G229">
        <v>5080</v>
      </c>
      <c r="H229">
        <v>19777</v>
      </c>
      <c r="I229" s="19">
        <v>44866</v>
      </c>
      <c r="J229" t="s">
        <v>18</v>
      </c>
      <c r="K229">
        <v>2022</v>
      </c>
    </row>
    <row r="230" spans="1:11" x14ac:dyDescent="0.3">
      <c r="A230" t="s">
        <v>11</v>
      </c>
      <c r="B230" t="s">
        <v>10</v>
      </c>
      <c r="C230" t="s">
        <v>24</v>
      </c>
      <c r="D230">
        <v>1205</v>
      </c>
      <c r="E230">
        <v>15</v>
      </c>
      <c r="F230">
        <v>18075</v>
      </c>
      <c r="G230">
        <v>27910</v>
      </c>
      <c r="H230">
        <v>-9835</v>
      </c>
      <c r="I230" s="19">
        <v>45231</v>
      </c>
      <c r="J230" t="s">
        <v>18</v>
      </c>
      <c r="K230">
        <v>2023</v>
      </c>
    </row>
    <row r="231" spans="1:11" x14ac:dyDescent="0.3">
      <c r="A231" t="s">
        <v>3</v>
      </c>
      <c r="B231" t="s">
        <v>2</v>
      </c>
      <c r="C231" t="s">
        <v>24</v>
      </c>
      <c r="D231">
        <v>2480</v>
      </c>
      <c r="E231">
        <v>7</v>
      </c>
      <c r="F231">
        <v>17360</v>
      </c>
      <c r="G231">
        <v>2850</v>
      </c>
      <c r="H231">
        <v>14510</v>
      </c>
      <c r="I231" s="19">
        <v>45261</v>
      </c>
      <c r="J231" t="s">
        <v>17</v>
      </c>
      <c r="K231">
        <v>2023</v>
      </c>
    </row>
    <row r="232" spans="1:11" x14ac:dyDescent="0.3">
      <c r="A232" t="s">
        <v>16</v>
      </c>
      <c r="B232" t="s">
        <v>15</v>
      </c>
      <c r="C232" t="s">
        <v>24</v>
      </c>
      <c r="D232">
        <v>2926</v>
      </c>
      <c r="E232">
        <v>7</v>
      </c>
      <c r="F232">
        <v>20482</v>
      </c>
      <c r="G232">
        <v>12435</v>
      </c>
      <c r="H232">
        <v>8047</v>
      </c>
      <c r="I232" s="19">
        <v>45261</v>
      </c>
      <c r="J232" t="s">
        <v>17</v>
      </c>
      <c r="K232">
        <v>2023</v>
      </c>
    </row>
    <row r="233" spans="1:11" x14ac:dyDescent="0.3">
      <c r="A233" t="s">
        <v>16</v>
      </c>
      <c r="B233" t="s">
        <v>15</v>
      </c>
      <c r="C233" t="s">
        <v>9</v>
      </c>
      <c r="D233">
        <v>3210</v>
      </c>
      <c r="E233">
        <v>350</v>
      </c>
      <c r="F233">
        <v>1123500</v>
      </c>
      <c r="G233">
        <v>359970</v>
      </c>
      <c r="H233">
        <v>763530</v>
      </c>
      <c r="I233" s="19">
        <v>44927</v>
      </c>
      <c r="J233" t="s">
        <v>25</v>
      </c>
      <c r="K233">
        <v>2023</v>
      </c>
    </row>
    <row r="234" spans="1:11" x14ac:dyDescent="0.3">
      <c r="A234" t="s">
        <v>3</v>
      </c>
      <c r="B234" t="s">
        <v>2</v>
      </c>
      <c r="C234" t="s">
        <v>9</v>
      </c>
      <c r="D234">
        <v>3221</v>
      </c>
      <c r="E234">
        <v>125</v>
      </c>
      <c r="F234">
        <v>402625</v>
      </c>
      <c r="G234">
        <v>435240</v>
      </c>
      <c r="H234">
        <v>-32615</v>
      </c>
      <c r="I234" s="19">
        <v>45108</v>
      </c>
      <c r="J234" t="s">
        <v>20</v>
      </c>
      <c r="K234">
        <v>2023</v>
      </c>
    </row>
    <row r="235" spans="1:11" x14ac:dyDescent="0.3">
      <c r="A235" t="s">
        <v>11</v>
      </c>
      <c r="B235" t="s">
        <v>10</v>
      </c>
      <c r="C235" t="s">
        <v>9</v>
      </c>
      <c r="D235">
        <v>2389</v>
      </c>
      <c r="E235">
        <v>350</v>
      </c>
      <c r="F235">
        <v>836150</v>
      </c>
      <c r="G235">
        <v>187200</v>
      </c>
      <c r="H235">
        <v>648950</v>
      </c>
      <c r="I235" s="19">
        <v>44805</v>
      </c>
      <c r="J235" t="s">
        <v>22</v>
      </c>
      <c r="K235">
        <v>2022</v>
      </c>
    </row>
    <row r="236" spans="1:11" x14ac:dyDescent="0.3">
      <c r="A236" t="s">
        <v>19</v>
      </c>
      <c r="B236" t="s">
        <v>6</v>
      </c>
      <c r="C236" t="s">
        <v>9</v>
      </c>
      <c r="D236">
        <v>1127</v>
      </c>
      <c r="E236">
        <v>12</v>
      </c>
      <c r="F236">
        <v>13524</v>
      </c>
      <c r="G236">
        <v>7026</v>
      </c>
      <c r="H236">
        <v>6498</v>
      </c>
      <c r="I236" s="19">
        <v>45231</v>
      </c>
      <c r="J236" t="s">
        <v>18</v>
      </c>
      <c r="K236">
        <v>2023</v>
      </c>
    </row>
    <row r="237" spans="1:11" x14ac:dyDescent="0.3">
      <c r="A237" t="s">
        <v>11</v>
      </c>
      <c r="B237" t="s">
        <v>10</v>
      </c>
      <c r="C237" t="s">
        <v>9</v>
      </c>
      <c r="D237">
        <v>319</v>
      </c>
      <c r="E237">
        <v>300</v>
      </c>
      <c r="F237">
        <v>95700</v>
      </c>
      <c r="G237">
        <v>275000</v>
      </c>
      <c r="H237">
        <v>-179300</v>
      </c>
      <c r="I237" s="19">
        <v>44896</v>
      </c>
      <c r="J237" t="s">
        <v>17</v>
      </c>
      <c r="K237">
        <v>2022</v>
      </c>
    </row>
    <row r="238" spans="1:11" x14ac:dyDescent="0.3">
      <c r="A238" t="s">
        <v>16</v>
      </c>
      <c r="B238" t="s">
        <v>15</v>
      </c>
      <c r="C238" t="s">
        <v>5</v>
      </c>
      <c r="D238">
        <v>1610</v>
      </c>
      <c r="E238">
        <v>20</v>
      </c>
      <c r="F238">
        <v>32200</v>
      </c>
      <c r="G238">
        <v>13030</v>
      </c>
      <c r="H238">
        <v>19170</v>
      </c>
      <c r="I238" s="19">
        <v>44958</v>
      </c>
      <c r="J238" t="s">
        <v>8</v>
      </c>
      <c r="K238">
        <v>2023</v>
      </c>
    </row>
    <row r="239" spans="1:11" x14ac:dyDescent="0.3">
      <c r="A239" t="s">
        <v>3</v>
      </c>
      <c r="B239" t="s">
        <v>2</v>
      </c>
      <c r="C239" t="s">
        <v>5</v>
      </c>
      <c r="D239">
        <v>4100</v>
      </c>
      <c r="E239">
        <v>125</v>
      </c>
      <c r="F239">
        <v>512500</v>
      </c>
      <c r="G239">
        <v>359040</v>
      </c>
      <c r="H239">
        <v>153460</v>
      </c>
      <c r="I239" s="19">
        <v>44986</v>
      </c>
      <c r="J239" t="s">
        <v>14</v>
      </c>
      <c r="K239">
        <v>2023</v>
      </c>
    </row>
    <row r="240" spans="1:11" x14ac:dyDescent="0.3">
      <c r="A240" t="s">
        <v>16</v>
      </c>
      <c r="B240" t="s">
        <v>15</v>
      </c>
      <c r="C240" t="s">
        <v>5</v>
      </c>
      <c r="D240">
        <v>1012</v>
      </c>
      <c r="E240">
        <v>125</v>
      </c>
      <c r="F240">
        <v>126500</v>
      </c>
      <c r="G240">
        <v>286200</v>
      </c>
      <c r="H240">
        <v>-159700</v>
      </c>
      <c r="I240" s="19">
        <v>44986</v>
      </c>
      <c r="J240" t="s">
        <v>14</v>
      </c>
      <c r="K240">
        <v>2023</v>
      </c>
    </row>
    <row r="241" spans="1:11" x14ac:dyDescent="0.3">
      <c r="A241" t="s">
        <v>11</v>
      </c>
      <c r="B241" t="s">
        <v>10</v>
      </c>
      <c r="C241" t="s">
        <v>5</v>
      </c>
      <c r="D241">
        <v>3337</v>
      </c>
      <c r="E241">
        <v>300</v>
      </c>
      <c r="F241">
        <v>1001100</v>
      </c>
      <c r="G241">
        <v>401750</v>
      </c>
      <c r="H241">
        <v>599350</v>
      </c>
      <c r="I241" s="19">
        <v>45017</v>
      </c>
      <c r="J241" t="s">
        <v>4</v>
      </c>
      <c r="K241">
        <v>2023</v>
      </c>
    </row>
    <row r="242" spans="1:11" x14ac:dyDescent="0.3">
      <c r="A242" t="s">
        <v>3</v>
      </c>
      <c r="B242" t="s">
        <v>2</v>
      </c>
      <c r="C242" t="s">
        <v>5</v>
      </c>
      <c r="D242">
        <v>3955</v>
      </c>
      <c r="E242">
        <v>7</v>
      </c>
      <c r="F242">
        <v>27685</v>
      </c>
      <c r="G242">
        <v>11635</v>
      </c>
      <c r="H242">
        <v>16050</v>
      </c>
      <c r="I242" s="19">
        <v>45047</v>
      </c>
      <c r="J242" t="s">
        <v>0</v>
      </c>
      <c r="K242">
        <v>2023</v>
      </c>
    </row>
    <row r="243" spans="1:11" x14ac:dyDescent="0.3">
      <c r="A243" t="s">
        <v>3</v>
      </c>
      <c r="B243" t="s">
        <v>2</v>
      </c>
      <c r="C243" t="s">
        <v>5</v>
      </c>
      <c r="D243">
        <v>4347</v>
      </c>
      <c r="E243">
        <v>300</v>
      </c>
      <c r="F243">
        <v>1304100</v>
      </c>
      <c r="G243">
        <v>247750</v>
      </c>
      <c r="H243">
        <v>1056350</v>
      </c>
      <c r="I243" s="19">
        <v>45078</v>
      </c>
      <c r="J243" t="s">
        <v>26</v>
      </c>
      <c r="K243">
        <v>2023</v>
      </c>
    </row>
    <row r="244" spans="1:11" x14ac:dyDescent="0.3">
      <c r="A244" t="s">
        <v>3</v>
      </c>
      <c r="B244" t="s">
        <v>2</v>
      </c>
      <c r="C244" t="s">
        <v>5</v>
      </c>
      <c r="D244">
        <v>1548</v>
      </c>
      <c r="E244">
        <v>350</v>
      </c>
      <c r="F244">
        <v>541800</v>
      </c>
      <c r="G244">
        <v>156520</v>
      </c>
      <c r="H244">
        <v>385280</v>
      </c>
      <c r="I244" s="19">
        <v>45078</v>
      </c>
      <c r="J244" t="s">
        <v>26</v>
      </c>
      <c r="K244">
        <v>2023</v>
      </c>
    </row>
    <row r="245" spans="1:11" x14ac:dyDescent="0.3">
      <c r="A245" t="s">
        <v>16</v>
      </c>
      <c r="B245" t="s">
        <v>15</v>
      </c>
      <c r="C245" t="s">
        <v>5</v>
      </c>
      <c r="D245">
        <v>2153</v>
      </c>
      <c r="E245">
        <v>15</v>
      </c>
      <c r="F245">
        <v>32295</v>
      </c>
      <c r="G245">
        <v>26200</v>
      </c>
      <c r="H245">
        <v>6095</v>
      </c>
      <c r="I245" s="19">
        <v>45170</v>
      </c>
      <c r="J245" t="s">
        <v>22</v>
      </c>
      <c r="K245">
        <v>2023</v>
      </c>
    </row>
    <row r="246" spans="1:11" x14ac:dyDescent="0.3">
      <c r="A246" t="s">
        <v>7</v>
      </c>
      <c r="B246" t="s">
        <v>6</v>
      </c>
      <c r="C246" t="s">
        <v>5</v>
      </c>
      <c r="D246">
        <v>3789</v>
      </c>
      <c r="E246">
        <v>350</v>
      </c>
      <c r="F246">
        <v>1326150</v>
      </c>
      <c r="G246">
        <v>319280</v>
      </c>
      <c r="H246">
        <v>1006870</v>
      </c>
      <c r="I246" s="19">
        <v>44835</v>
      </c>
      <c r="J246" t="s">
        <v>12</v>
      </c>
      <c r="K246">
        <v>2022</v>
      </c>
    </row>
    <row r="247" spans="1:11" x14ac:dyDescent="0.3">
      <c r="A247" t="s">
        <v>7</v>
      </c>
      <c r="B247" t="s">
        <v>6</v>
      </c>
      <c r="C247" t="s">
        <v>5</v>
      </c>
      <c r="D247">
        <v>4364</v>
      </c>
      <c r="E247">
        <v>20</v>
      </c>
      <c r="F247">
        <v>87280</v>
      </c>
      <c r="G247">
        <v>13890</v>
      </c>
      <c r="H247">
        <v>73390</v>
      </c>
      <c r="I247" s="19">
        <v>44835</v>
      </c>
      <c r="J247" t="s">
        <v>12</v>
      </c>
      <c r="K247">
        <v>2022</v>
      </c>
    </row>
    <row r="248" spans="1:11" x14ac:dyDescent="0.3">
      <c r="A248" t="s">
        <v>3</v>
      </c>
      <c r="B248" t="s">
        <v>2</v>
      </c>
      <c r="C248" t="s">
        <v>5</v>
      </c>
      <c r="D248">
        <v>4126</v>
      </c>
      <c r="E248">
        <v>125</v>
      </c>
      <c r="F248">
        <v>515750</v>
      </c>
      <c r="G248">
        <v>103320</v>
      </c>
      <c r="H248">
        <v>412430</v>
      </c>
      <c r="I248" s="19">
        <v>45200</v>
      </c>
      <c r="J248" t="s">
        <v>12</v>
      </c>
      <c r="K248">
        <v>2023</v>
      </c>
    </row>
    <row r="249" spans="1:11" x14ac:dyDescent="0.3">
      <c r="A249" t="s">
        <v>16</v>
      </c>
      <c r="B249" t="s">
        <v>15</v>
      </c>
      <c r="C249" t="s">
        <v>5</v>
      </c>
      <c r="D249">
        <v>1343</v>
      </c>
      <c r="E249">
        <v>125</v>
      </c>
      <c r="F249">
        <v>167875</v>
      </c>
      <c r="G249">
        <v>84480</v>
      </c>
      <c r="H249">
        <v>83395</v>
      </c>
      <c r="I249" s="19">
        <v>44835</v>
      </c>
      <c r="J249" t="s">
        <v>12</v>
      </c>
      <c r="K249">
        <v>2022</v>
      </c>
    </row>
    <row r="250" spans="1:11" x14ac:dyDescent="0.3">
      <c r="A250" t="s">
        <v>7</v>
      </c>
      <c r="B250" t="s">
        <v>6</v>
      </c>
      <c r="C250" t="s">
        <v>5</v>
      </c>
      <c r="D250">
        <v>245</v>
      </c>
      <c r="E250">
        <v>20</v>
      </c>
      <c r="F250">
        <v>4900</v>
      </c>
      <c r="G250">
        <v>18020</v>
      </c>
      <c r="H250">
        <v>-13120</v>
      </c>
      <c r="I250" s="19">
        <v>44896</v>
      </c>
      <c r="J250" t="s">
        <v>17</v>
      </c>
      <c r="K250">
        <v>2022</v>
      </c>
    </row>
    <row r="251" spans="1:11" x14ac:dyDescent="0.3">
      <c r="A251" t="s">
        <v>3</v>
      </c>
      <c r="B251" t="s">
        <v>2</v>
      </c>
      <c r="C251" t="s">
        <v>5</v>
      </c>
      <c r="D251">
        <v>3376</v>
      </c>
      <c r="E251">
        <v>20</v>
      </c>
      <c r="F251">
        <v>67520</v>
      </c>
      <c r="G251">
        <v>26630</v>
      </c>
      <c r="H251">
        <v>40890</v>
      </c>
      <c r="I251" s="19">
        <v>45261</v>
      </c>
      <c r="J251" t="s">
        <v>17</v>
      </c>
      <c r="K251">
        <v>2023</v>
      </c>
    </row>
    <row r="252" spans="1:11" x14ac:dyDescent="0.3">
      <c r="A252" t="s">
        <v>16</v>
      </c>
      <c r="B252" t="s">
        <v>15</v>
      </c>
      <c r="C252" t="s">
        <v>5</v>
      </c>
      <c r="D252">
        <v>1401</v>
      </c>
      <c r="E252">
        <v>7</v>
      </c>
      <c r="F252">
        <v>9807</v>
      </c>
      <c r="G252">
        <v>10680</v>
      </c>
      <c r="H252">
        <v>-873</v>
      </c>
      <c r="I252" s="19">
        <v>44896</v>
      </c>
      <c r="J252" t="s">
        <v>17</v>
      </c>
      <c r="K252">
        <v>2022</v>
      </c>
    </row>
    <row r="253" spans="1:11" x14ac:dyDescent="0.3">
      <c r="A253" t="s">
        <v>19</v>
      </c>
      <c r="B253" t="s">
        <v>6</v>
      </c>
      <c r="C253" t="s">
        <v>5</v>
      </c>
      <c r="D253">
        <v>3483</v>
      </c>
      <c r="E253">
        <v>15</v>
      </c>
      <c r="F253">
        <v>52245</v>
      </c>
      <c r="G253">
        <v>21160</v>
      </c>
      <c r="H253">
        <v>31085</v>
      </c>
      <c r="I253" s="19">
        <v>44896</v>
      </c>
      <c r="J253" t="s">
        <v>17</v>
      </c>
      <c r="K253">
        <v>2022</v>
      </c>
    </row>
    <row r="254" spans="1:11" x14ac:dyDescent="0.3">
      <c r="A254" t="s">
        <v>3</v>
      </c>
      <c r="B254" t="s">
        <v>2</v>
      </c>
      <c r="C254" t="s">
        <v>21</v>
      </c>
      <c r="D254">
        <v>2244</v>
      </c>
      <c r="E254">
        <v>15</v>
      </c>
      <c r="F254">
        <v>33660</v>
      </c>
      <c r="G254">
        <v>5550</v>
      </c>
      <c r="H254">
        <v>28110</v>
      </c>
      <c r="I254" s="19">
        <v>44927</v>
      </c>
      <c r="J254" t="s">
        <v>25</v>
      </c>
      <c r="K254">
        <v>2023</v>
      </c>
    </row>
    <row r="255" spans="1:11" x14ac:dyDescent="0.3">
      <c r="A255" t="s">
        <v>11</v>
      </c>
      <c r="B255" t="s">
        <v>10</v>
      </c>
      <c r="C255" t="s">
        <v>21</v>
      </c>
      <c r="D255">
        <v>1360</v>
      </c>
      <c r="E255">
        <v>15</v>
      </c>
      <c r="F255">
        <v>20400</v>
      </c>
      <c r="G255">
        <v>28610</v>
      </c>
      <c r="H255">
        <v>-8210</v>
      </c>
      <c r="I255" s="19">
        <v>44927</v>
      </c>
      <c r="J255" t="s">
        <v>25</v>
      </c>
      <c r="K255">
        <v>2023</v>
      </c>
    </row>
    <row r="256" spans="1:11" x14ac:dyDescent="0.3">
      <c r="A256" t="s">
        <v>19</v>
      </c>
      <c r="B256" t="s">
        <v>6</v>
      </c>
      <c r="C256" t="s">
        <v>21</v>
      </c>
      <c r="D256">
        <v>279</v>
      </c>
      <c r="E256">
        <v>125</v>
      </c>
      <c r="F256">
        <v>34875</v>
      </c>
      <c r="G256">
        <v>96840</v>
      </c>
      <c r="H256">
        <v>-61965</v>
      </c>
      <c r="I256" s="19">
        <v>44958</v>
      </c>
      <c r="J256" t="s">
        <v>8</v>
      </c>
      <c r="K256">
        <v>2023</v>
      </c>
    </row>
    <row r="257" spans="1:11" x14ac:dyDescent="0.3">
      <c r="A257" t="s">
        <v>3</v>
      </c>
      <c r="B257" t="s">
        <v>2</v>
      </c>
      <c r="C257" t="s">
        <v>21</v>
      </c>
      <c r="D257">
        <v>2521</v>
      </c>
      <c r="E257">
        <v>350</v>
      </c>
      <c r="F257">
        <v>882350</v>
      </c>
      <c r="G257">
        <v>156520</v>
      </c>
      <c r="H257">
        <v>725830</v>
      </c>
      <c r="I257" s="19">
        <v>45078</v>
      </c>
      <c r="J257" t="s">
        <v>26</v>
      </c>
      <c r="K257">
        <v>2023</v>
      </c>
    </row>
    <row r="258" spans="1:11" x14ac:dyDescent="0.3">
      <c r="A258" t="s">
        <v>3</v>
      </c>
      <c r="B258" t="s">
        <v>2</v>
      </c>
      <c r="C258" t="s">
        <v>21</v>
      </c>
      <c r="D258">
        <v>2433</v>
      </c>
      <c r="E258">
        <v>20</v>
      </c>
      <c r="F258">
        <v>48660</v>
      </c>
      <c r="G258">
        <v>28320</v>
      </c>
      <c r="H258">
        <v>20340</v>
      </c>
      <c r="I258" s="19">
        <v>45139</v>
      </c>
      <c r="J258" t="s">
        <v>23</v>
      </c>
      <c r="K258">
        <v>2023</v>
      </c>
    </row>
    <row r="259" spans="1:11" x14ac:dyDescent="0.3">
      <c r="A259" t="s">
        <v>16</v>
      </c>
      <c r="B259" t="s">
        <v>15</v>
      </c>
      <c r="C259" t="s">
        <v>21</v>
      </c>
      <c r="D259">
        <v>1738</v>
      </c>
      <c r="E259">
        <v>20</v>
      </c>
      <c r="F259">
        <v>34760</v>
      </c>
      <c r="G259">
        <v>15790</v>
      </c>
      <c r="H259">
        <v>18970</v>
      </c>
      <c r="I259" s="19">
        <v>45139</v>
      </c>
      <c r="J259" t="s">
        <v>23</v>
      </c>
      <c r="K259">
        <v>2023</v>
      </c>
    </row>
    <row r="260" spans="1:11" x14ac:dyDescent="0.3">
      <c r="A260" t="s">
        <v>3</v>
      </c>
      <c r="B260" t="s">
        <v>2</v>
      </c>
      <c r="C260" t="s">
        <v>21</v>
      </c>
      <c r="D260">
        <v>1106</v>
      </c>
      <c r="E260">
        <v>125</v>
      </c>
      <c r="F260">
        <v>138250</v>
      </c>
      <c r="G260">
        <v>103320</v>
      </c>
      <c r="H260">
        <v>34930</v>
      </c>
      <c r="I260" s="19">
        <v>45200</v>
      </c>
      <c r="J260" t="s">
        <v>12</v>
      </c>
      <c r="K260">
        <v>2023</v>
      </c>
    </row>
    <row r="261" spans="1:11" x14ac:dyDescent="0.3">
      <c r="A261" t="s">
        <v>16</v>
      </c>
      <c r="B261" t="s">
        <v>15</v>
      </c>
      <c r="C261" t="s">
        <v>21</v>
      </c>
      <c r="D261">
        <v>3379</v>
      </c>
      <c r="E261">
        <v>125</v>
      </c>
      <c r="F261">
        <v>422375</v>
      </c>
      <c r="G261">
        <v>84480</v>
      </c>
      <c r="H261">
        <v>337895</v>
      </c>
      <c r="I261" s="19">
        <v>44835</v>
      </c>
      <c r="J261" t="s">
        <v>12</v>
      </c>
      <c r="K261">
        <v>2022</v>
      </c>
    </row>
    <row r="262" spans="1:11" x14ac:dyDescent="0.3">
      <c r="A262" t="s">
        <v>16</v>
      </c>
      <c r="B262" t="s">
        <v>15</v>
      </c>
      <c r="C262" t="s">
        <v>21</v>
      </c>
      <c r="D262">
        <v>1221</v>
      </c>
      <c r="E262">
        <v>20</v>
      </c>
      <c r="F262">
        <v>24420</v>
      </c>
      <c r="G262">
        <v>10330</v>
      </c>
      <c r="H262">
        <v>14090</v>
      </c>
      <c r="I262" s="19">
        <v>44896</v>
      </c>
      <c r="J262" t="s">
        <v>17</v>
      </c>
      <c r="K262">
        <v>2022</v>
      </c>
    </row>
    <row r="263" spans="1:11" x14ac:dyDescent="0.3">
      <c r="A263" t="s">
        <v>19</v>
      </c>
      <c r="B263" t="s">
        <v>6</v>
      </c>
      <c r="C263" t="s">
        <v>21</v>
      </c>
      <c r="D263">
        <v>213</v>
      </c>
      <c r="E263">
        <v>300</v>
      </c>
      <c r="F263">
        <v>63900</v>
      </c>
      <c r="G263">
        <v>312500</v>
      </c>
      <c r="H263">
        <v>-248600</v>
      </c>
      <c r="I263" s="19">
        <v>45261</v>
      </c>
      <c r="J263" t="s">
        <v>17</v>
      </c>
      <c r="K263">
        <v>2023</v>
      </c>
    </row>
    <row r="264" spans="1:11" x14ac:dyDescent="0.3">
      <c r="A264" t="s">
        <v>7</v>
      </c>
      <c r="B264" t="s">
        <v>6</v>
      </c>
      <c r="C264" t="s">
        <v>1</v>
      </c>
      <c r="D264">
        <v>3335</v>
      </c>
      <c r="E264">
        <v>20</v>
      </c>
      <c r="F264">
        <v>66700</v>
      </c>
      <c r="G264">
        <v>13890</v>
      </c>
      <c r="H264">
        <v>52810</v>
      </c>
      <c r="I264" s="19">
        <v>44835</v>
      </c>
      <c r="J264" t="s">
        <v>12</v>
      </c>
      <c r="K264">
        <v>2022</v>
      </c>
    </row>
    <row r="265" spans="1:11" x14ac:dyDescent="0.3">
      <c r="A265" t="s">
        <v>3</v>
      </c>
      <c r="B265" t="s">
        <v>2</v>
      </c>
      <c r="C265" t="s">
        <v>1</v>
      </c>
      <c r="D265">
        <v>1260</v>
      </c>
      <c r="E265">
        <v>20</v>
      </c>
      <c r="F265">
        <v>25200</v>
      </c>
      <c r="G265">
        <v>12650</v>
      </c>
      <c r="H265">
        <v>12550</v>
      </c>
      <c r="I265" s="19">
        <v>44866</v>
      </c>
      <c r="J265" t="s">
        <v>18</v>
      </c>
      <c r="K265">
        <v>2022</v>
      </c>
    </row>
    <row r="266" spans="1:11" x14ac:dyDescent="0.3">
      <c r="A266" t="s">
        <v>19</v>
      </c>
      <c r="B266" t="s">
        <v>6</v>
      </c>
      <c r="C266" t="s">
        <v>1</v>
      </c>
      <c r="D266">
        <v>3034</v>
      </c>
      <c r="E266">
        <v>20</v>
      </c>
      <c r="F266">
        <v>60680</v>
      </c>
      <c r="G266">
        <v>22970</v>
      </c>
      <c r="H266">
        <v>37710</v>
      </c>
      <c r="I266" s="19">
        <v>44866</v>
      </c>
      <c r="J266" t="s">
        <v>18</v>
      </c>
      <c r="K266">
        <v>2022</v>
      </c>
    </row>
    <row r="267" spans="1:11" x14ac:dyDescent="0.3">
      <c r="A267" t="s">
        <v>3</v>
      </c>
      <c r="B267" t="s">
        <v>2</v>
      </c>
      <c r="C267" t="s">
        <v>1</v>
      </c>
      <c r="D267">
        <v>2929</v>
      </c>
      <c r="E267">
        <v>20</v>
      </c>
      <c r="F267">
        <v>58580</v>
      </c>
      <c r="G267">
        <v>26630</v>
      </c>
      <c r="H267">
        <v>31950</v>
      </c>
      <c r="I267" s="19">
        <v>45261</v>
      </c>
      <c r="J267" t="s">
        <v>17</v>
      </c>
      <c r="K267">
        <v>2023</v>
      </c>
    </row>
    <row r="268" spans="1:11" x14ac:dyDescent="0.3">
      <c r="A268" t="s">
        <v>3</v>
      </c>
      <c r="B268" t="s">
        <v>2</v>
      </c>
      <c r="C268" t="s">
        <v>1</v>
      </c>
      <c r="D268">
        <v>2389</v>
      </c>
      <c r="E268">
        <v>7</v>
      </c>
      <c r="F268">
        <v>16723</v>
      </c>
      <c r="G268">
        <v>2850</v>
      </c>
      <c r="H268">
        <v>13873</v>
      </c>
      <c r="I268" s="19">
        <v>45261</v>
      </c>
      <c r="J268" t="s">
        <v>17</v>
      </c>
      <c r="K268">
        <v>2023</v>
      </c>
    </row>
    <row r="269" spans="1:11" x14ac:dyDescent="0.3">
      <c r="A269" t="s">
        <v>16</v>
      </c>
      <c r="B269" t="s">
        <v>15</v>
      </c>
      <c r="C269" t="s">
        <v>1</v>
      </c>
      <c r="D269">
        <v>3086</v>
      </c>
      <c r="E269">
        <v>7</v>
      </c>
      <c r="F269">
        <v>21602</v>
      </c>
      <c r="G269">
        <v>12435</v>
      </c>
      <c r="H269">
        <v>9167</v>
      </c>
      <c r="I269" s="19">
        <v>45261</v>
      </c>
      <c r="J269" t="s">
        <v>17</v>
      </c>
      <c r="K269">
        <v>2023</v>
      </c>
    </row>
    <row r="270" spans="1:11" x14ac:dyDescent="0.3">
      <c r="A270" t="s">
        <v>19</v>
      </c>
      <c r="B270" t="s">
        <v>6</v>
      </c>
      <c r="C270" t="s">
        <v>13</v>
      </c>
      <c r="D270">
        <v>745</v>
      </c>
      <c r="E270">
        <v>350</v>
      </c>
      <c r="F270">
        <v>260750</v>
      </c>
      <c r="G270">
        <v>351000</v>
      </c>
      <c r="H270">
        <v>-90250</v>
      </c>
      <c r="I270" s="19">
        <v>44958</v>
      </c>
      <c r="J270" t="s">
        <v>8</v>
      </c>
      <c r="K270">
        <v>2023</v>
      </c>
    </row>
    <row r="271" spans="1:11" x14ac:dyDescent="0.3">
      <c r="A271" t="s">
        <v>7</v>
      </c>
      <c r="B271" t="s">
        <v>6</v>
      </c>
      <c r="C271" t="s">
        <v>13</v>
      </c>
      <c r="D271">
        <v>1266</v>
      </c>
      <c r="E271">
        <v>350</v>
      </c>
      <c r="F271">
        <v>443100</v>
      </c>
      <c r="G271">
        <v>143520</v>
      </c>
      <c r="H271">
        <v>299580</v>
      </c>
      <c r="I271" s="19">
        <v>45139</v>
      </c>
      <c r="J271" t="s">
        <v>23</v>
      </c>
      <c r="K271">
        <v>2023</v>
      </c>
    </row>
    <row r="272" spans="1:11" x14ac:dyDescent="0.3">
      <c r="A272" t="s">
        <v>7</v>
      </c>
      <c r="B272" t="s">
        <v>6</v>
      </c>
      <c r="C272" t="s">
        <v>13</v>
      </c>
      <c r="D272">
        <v>3790</v>
      </c>
      <c r="E272">
        <v>350</v>
      </c>
      <c r="F272">
        <v>1326500</v>
      </c>
      <c r="G272">
        <v>319280</v>
      </c>
      <c r="H272">
        <v>1007220</v>
      </c>
      <c r="I272" s="19">
        <v>44835</v>
      </c>
      <c r="J272" t="s">
        <v>12</v>
      </c>
      <c r="K272">
        <v>2022</v>
      </c>
    </row>
    <row r="273" spans="1:11" x14ac:dyDescent="0.3">
      <c r="A273" t="s">
        <v>19</v>
      </c>
      <c r="B273" t="s">
        <v>6</v>
      </c>
      <c r="C273" t="s">
        <v>13</v>
      </c>
      <c r="D273">
        <v>4287</v>
      </c>
      <c r="E273">
        <v>300</v>
      </c>
      <c r="F273">
        <v>1286100</v>
      </c>
      <c r="G273">
        <v>312500</v>
      </c>
      <c r="H273">
        <v>973600</v>
      </c>
      <c r="I273" s="19">
        <v>45261</v>
      </c>
      <c r="J273" t="s">
        <v>17</v>
      </c>
      <c r="K273">
        <v>2023</v>
      </c>
    </row>
    <row r="274" spans="1:11" x14ac:dyDescent="0.3">
      <c r="A274" t="s">
        <v>16</v>
      </c>
      <c r="B274" t="s">
        <v>15</v>
      </c>
      <c r="C274" t="s">
        <v>5</v>
      </c>
      <c r="D274">
        <v>3193</v>
      </c>
      <c r="E274">
        <v>15</v>
      </c>
      <c r="F274">
        <v>47895</v>
      </c>
      <c r="G274">
        <v>38010</v>
      </c>
      <c r="H274">
        <v>9885</v>
      </c>
      <c r="I274" s="19">
        <v>45017</v>
      </c>
      <c r="J274" t="s">
        <v>4</v>
      </c>
      <c r="K274">
        <v>2023</v>
      </c>
    </row>
    <row r="275" spans="1:11" x14ac:dyDescent="0.3">
      <c r="A275" t="s">
        <v>3</v>
      </c>
      <c r="B275" t="s">
        <v>2</v>
      </c>
      <c r="C275" t="s">
        <v>24</v>
      </c>
      <c r="D275">
        <v>1967</v>
      </c>
      <c r="E275">
        <v>20</v>
      </c>
      <c r="F275">
        <v>39340</v>
      </c>
      <c r="G275">
        <v>11175</v>
      </c>
      <c r="H275">
        <v>28165</v>
      </c>
      <c r="I275" s="19">
        <v>44927</v>
      </c>
      <c r="J275" t="s">
        <v>25</v>
      </c>
      <c r="K275">
        <v>2023</v>
      </c>
    </row>
    <row r="276" spans="1:11" x14ac:dyDescent="0.3">
      <c r="A276" t="s">
        <v>7</v>
      </c>
      <c r="B276" t="s">
        <v>6</v>
      </c>
      <c r="C276" t="s">
        <v>24</v>
      </c>
      <c r="D276">
        <v>631</v>
      </c>
      <c r="E276">
        <v>15</v>
      </c>
      <c r="F276">
        <v>9465</v>
      </c>
      <c r="G276">
        <v>28440</v>
      </c>
      <c r="H276">
        <v>-18975</v>
      </c>
      <c r="I276" s="19">
        <v>45078</v>
      </c>
      <c r="J276" t="s">
        <v>26</v>
      </c>
      <c r="K276">
        <v>2023</v>
      </c>
    </row>
    <row r="277" spans="1:11" x14ac:dyDescent="0.3">
      <c r="A277" t="s">
        <v>11</v>
      </c>
      <c r="B277" t="s">
        <v>10</v>
      </c>
      <c r="C277" t="s">
        <v>24</v>
      </c>
      <c r="D277">
        <v>3469</v>
      </c>
      <c r="E277">
        <v>12</v>
      </c>
      <c r="F277">
        <v>41628</v>
      </c>
      <c r="G277">
        <v>1686</v>
      </c>
      <c r="H277">
        <v>39942</v>
      </c>
      <c r="I277" s="19">
        <v>45170</v>
      </c>
      <c r="J277" t="s">
        <v>22</v>
      </c>
      <c r="K277">
        <v>2023</v>
      </c>
    </row>
    <row r="278" spans="1:11" x14ac:dyDescent="0.3">
      <c r="A278" t="s">
        <v>7</v>
      </c>
      <c r="B278" t="s">
        <v>6</v>
      </c>
      <c r="C278" t="s">
        <v>24</v>
      </c>
      <c r="D278">
        <v>570</v>
      </c>
      <c r="E278">
        <v>12</v>
      </c>
      <c r="F278">
        <v>6840</v>
      </c>
      <c r="G278">
        <v>6897</v>
      </c>
      <c r="H278">
        <v>-57</v>
      </c>
      <c r="I278" s="19">
        <v>44835</v>
      </c>
      <c r="J278" t="s">
        <v>12</v>
      </c>
      <c r="K278">
        <v>2022</v>
      </c>
    </row>
    <row r="279" spans="1:11" x14ac:dyDescent="0.3">
      <c r="A279" t="s">
        <v>3</v>
      </c>
      <c r="B279" t="s">
        <v>2</v>
      </c>
      <c r="C279" t="s">
        <v>24</v>
      </c>
      <c r="D279">
        <v>3215</v>
      </c>
      <c r="E279">
        <v>15</v>
      </c>
      <c r="F279">
        <v>48225</v>
      </c>
      <c r="G279">
        <v>20300</v>
      </c>
      <c r="H279">
        <v>27925</v>
      </c>
      <c r="I279" s="19">
        <v>45231</v>
      </c>
      <c r="J279" t="s">
        <v>18</v>
      </c>
      <c r="K279">
        <v>2023</v>
      </c>
    </row>
    <row r="280" spans="1:11" x14ac:dyDescent="0.3">
      <c r="A280" t="s">
        <v>3</v>
      </c>
      <c r="B280" t="s">
        <v>2</v>
      </c>
      <c r="C280" t="s">
        <v>24</v>
      </c>
      <c r="D280">
        <v>3754</v>
      </c>
      <c r="E280">
        <v>7</v>
      </c>
      <c r="F280">
        <v>26278</v>
      </c>
      <c r="G280">
        <v>1315</v>
      </c>
      <c r="H280">
        <v>24963</v>
      </c>
      <c r="I280" s="19">
        <v>44866</v>
      </c>
      <c r="J280" t="s">
        <v>18</v>
      </c>
      <c r="K280">
        <v>2022</v>
      </c>
    </row>
    <row r="281" spans="1:11" x14ac:dyDescent="0.3">
      <c r="A281" t="s">
        <v>19</v>
      </c>
      <c r="B281" t="s">
        <v>6</v>
      </c>
      <c r="C281" t="s">
        <v>24</v>
      </c>
      <c r="D281">
        <v>2187</v>
      </c>
      <c r="E281">
        <v>125</v>
      </c>
      <c r="F281">
        <v>273375</v>
      </c>
      <c r="G281">
        <v>106440</v>
      </c>
      <c r="H281">
        <v>166935</v>
      </c>
      <c r="I281" s="19">
        <v>44896</v>
      </c>
      <c r="J281" t="s">
        <v>17</v>
      </c>
      <c r="K281">
        <v>2022</v>
      </c>
    </row>
    <row r="282" spans="1:11" x14ac:dyDescent="0.3">
      <c r="A282" t="s">
        <v>11</v>
      </c>
      <c r="B282" t="s">
        <v>10</v>
      </c>
      <c r="C282" t="s">
        <v>9</v>
      </c>
      <c r="D282">
        <v>1959</v>
      </c>
      <c r="E282">
        <v>350</v>
      </c>
      <c r="F282">
        <v>685650</v>
      </c>
      <c r="G282">
        <v>254800</v>
      </c>
      <c r="H282">
        <v>430850</v>
      </c>
      <c r="I282" s="19">
        <v>45017</v>
      </c>
      <c r="J282" t="s">
        <v>4</v>
      </c>
      <c r="K282">
        <v>2023</v>
      </c>
    </row>
    <row r="283" spans="1:11" x14ac:dyDescent="0.3">
      <c r="A283" t="s">
        <v>19</v>
      </c>
      <c r="B283" t="s">
        <v>6</v>
      </c>
      <c r="C283" t="s">
        <v>9</v>
      </c>
      <c r="D283">
        <v>2181</v>
      </c>
      <c r="E283">
        <v>350</v>
      </c>
      <c r="F283">
        <v>763350</v>
      </c>
      <c r="G283">
        <v>379600</v>
      </c>
      <c r="H283">
        <v>383750</v>
      </c>
      <c r="I283" s="19">
        <v>45047</v>
      </c>
      <c r="J283" t="s">
        <v>0</v>
      </c>
      <c r="K283">
        <v>2023</v>
      </c>
    </row>
    <row r="284" spans="1:11" x14ac:dyDescent="0.3">
      <c r="A284" t="s">
        <v>16</v>
      </c>
      <c r="B284" t="s">
        <v>15</v>
      </c>
      <c r="C284" t="s">
        <v>9</v>
      </c>
      <c r="D284">
        <v>3559</v>
      </c>
      <c r="E284">
        <v>7</v>
      </c>
      <c r="F284">
        <v>24913</v>
      </c>
      <c r="G284">
        <v>7015</v>
      </c>
      <c r="H284">
        <v>17898</v>
      </c>
      <c r="I284" s="19">
        <v>44835</v>
      </c>
      <c r="J284" t="s">
        <v>12</v>
      </c>
      <c r="K284">
        <v>2022</v>
      </c>
    </row>
    <row r="285" spans="1:11" x14ac:dyDescent="0.3">
      <c r="A285" t="s">
        <v>3</v>
      </c>
      <c r="B285" t="s">
        <v>2</v>
      </c>
      <c r="C285" t="s">
        <v>9</v>
      </c>
      <c r="D285">
        <v>2205</v>
      </c>
      <c r="E285">
        <v>12</v>
      </c>
      <c r="F285">
        <v>26460</v>
      </c>
      <c r="G285">
        <v>8169</v>
      </c>
      <c r="H285">
        <v>18291</v>
      </c>
      <c r="I285" s="19">
        <v>45231</v>
      </c>
      <c r="J285" t="s">
        <v>18</v>
      </c>
      <c r="K285">
        <v>2023</v>
      </c>
    </row>
    <row r="286" spans="1:11" x14ac:dyDescent="0.3">
      <c r="A286" t="s">
        <v>16</v>
      </c>
      <c r="B286" t="s">
        <v>15</v>
      </c>
      <c r="C286" t="s">
        <v>5</v>
      </c>
      <c r="D286">
        <v>1890</v>
      </c>
      <c r="E286">
        <v>350</v>
      </c>
      <c r="F286">
        <v>661500</v>
      </c>
      <c r="G286">
        <v>388960</v>
      </c>
      <c r="H286">
        <v>272540</v>
      </c>
      <c r="I286" s="19">
        <v>45078</v>
      </c>
      <c r="J286" t="s">
        <v>26</v>
      </c>
      <c r="K286">
        <v>2023</v>
      </c>
    </row>
    <row r="287" spans="1:11" x14ac:dyDescent="0.3">
      <c r="A287" t="s">
        <v>7</v>
      </c>
      <c r="B287" t="s">
        <v>6</v>
      </c>
      <c r="C287" t="s">
        <v>5</v>
      </c>
      <c r="D287">
        <v>1296</v>
      </c>
      <c r="E287">
        <v>12</v>
      </c>
      <c r="F287">
        <v>15552</v>
      </c>
      <c r="G287">
        <v>6897</v>
      </c>
      <c r="H287">
        <v>8655</v>
      </c>
      <c r="I287" s="19">
        <v>44835</v>
      </c>
      <c r="J287" t="s">
        <v>12</v>
      </c>
      <c r="K287">
        <v>2022</v>
      </c>
    </row>
    <row r="288" spans="1:11" x14ac:dyDescent="0.3">
      <c r="A288" t="s">
        <v>3</v>
      </c>
      <c r="B288" t="s">
        <v>2</v>
      </c>
      <c r="C288" t="s">
        <v>5</v>
      </c>
      <c r="D288">
        <v>775</v>
      </c>
      <c r="E288">
        <v>350</v>
      </c>
      <c r="F288">
        <v>271250</v>
      </c>
      <c r="G288">
        <v>189020</v>
      </c>
      <c r="H288">
        <v>82230</v>
      </c>
      <c r="I288" s="19">
        <v>44835</v>
      </c>
      <c r="J288" t="s">
        <v>12</v>
      </c>
      <c r="K288">
        <v>2022</v>
      </c>
    </row>
    <row r="289" spans="1:11" x14ac:dyDescent="0.3">
      <c r="A289" t="s">
        <v>7</v>
      </c>
      <c r="B289" t="s">
        <v>6</v>
      </c>
      <c r="C289" t="s">
        <v>21</v>
      </c>
      <c r="D289">
        <v>2417</v>
      </c>
      <c r="E289">
        <v>125</v>
      </c>
      <c r="F289">
        <v>302125</v>
      </c>
      <c r="G289">
        <v>114240</v>
      </c>
      <c r="H289">
        <v>187885</v>
      </c>
      <c r="I289" s="19">
        <v>44958</v>
      </c>
      <c r="J289" t="s">
        <v>8</v>
      </c>
      <c r="K289">
        <v>2023</v>
      </c>
    </row>
    <row r="290" spans="1:11" x14ac:dyDescent="0.3">
      <c r="A290" t="s">
        <v>3</v>
      </c>
      <c r="B290" t="s">
        <v>2</v>
      </c>
      <c r="C290" t="s">
        <v>21</v>
      </c>
      <c r="D290">
        <v>1158</v>
      </c>
      <c r="E290">
        <v>125</v>
      </c>
      <c r="F290">
        <v>144750</v>
      </c>
      <c r="G290">
        <v>330600</v>
      </c>
      <c r="H290">
        <v>-185850</v>
      </c>
      <c r="I290" s="19">
        <v>44958</v>
      </c>
      <c r="J290" t="s">
        <v>8</v>
      </c>
      <c r="K290">
        <v>2023</v>
      </c>
    </row>
    <row r="291" spans="1:11" x14ac:dyDescent="0.3">
      <c r="A291" t="s">
        <v>19</v>
      </c>
      <c r="B291" t="s">
        <v>6</v>
      </c>
      <c r="C291" t="s">
        <v>21</v>
      </c>
      <c r="D291">
        <v>803</v>
      </c>
      <c r="E291">
        <v>15</v>
      </c>
      <c r="F291">
        <v>12045</v>
      </c>
      <c r="G291">
        <v>15300</v>
      </c>
      <c r="H291">
        <v>-3255</v>
      </c>
      <c r="I291" s="19">
        <v>45047</v>
      </c>
      <c r="J291" t="s">
        <v>0</v>
      </c>
      <c r="K291">
        <v>2023</v>
      </c>
    </row>
    <row r="292" spans="1:11" x14ac:dyDescent="0.3">
      <c r="A292" t="s">
        <v>16</v>
      </c>
      <c r="B292" t="s">
        <v>15</v>
      </c>
      <c r="C292" t="s">
        <v>21</v>
      </c>
      <c r="D292">
        <v>3705</v>
      </c>
      <c r="E292">
        <v>350</v>
      </c>
      <c r="F292">
        <v>1296750</v>
      </c>
      <c r="G292">
        <v>388960</v>
      </c>
      <c r="H292">
        <v>907790</v>
      </c>
      <c r="I292" s="19">
        <v>45078</v>
      </c>
      <c r="J292" t="s">
        <v>26</v>
      </c>
      <c r="K292">
        <v>2023</v>
      </c>
    </row>
    <row r="293" spans="1:11" x14ac:dyDescent="0.3">
      <c r="A293" t="s">
        <v>11</v>
      </c>
      <c r="B293" t="s">
        <v>10</v>
      </c>
      <c r="C293" t="s">
        <v>21</v>
      </c>
      <c r="D293">
        <v>589</v>
      </c>
      <c r="E293">
        <v>7</v>
      </c>
      <c r="F293">
        <v>4123</v>
      </c>
      <c r="G293">
        <v>7490</v>
      </c>
      <c r="H293">
        <v>-3367</v>
      </c>
      <c r="I293" s="19">
        <v>45078</v>
      </c>
      <c r="J293" t="s">
        <v>26</v>
      </c>
      <c r="K293">
        <v>2023</v>
      </c>
    </row>
    <row r="294" spans="1:11" x14ac:dyDescent="0.3">
      <c r="A294" t="s">
        <v>16</v>
      </c>
      <c r="B294" t="s">
        <v>15</v>
      </c>
      <c r="C294" t="s">
        <v>21</v>
      </c>
      <c r="D294">
        <v>3797</v>
      </c>
      <c r="E294">
        <v>300</v>
      </c>
      <c r="F294">
        <v>1139100</v>
      </c>
      <c r="G294">
        <v>305250</v>
      </c>
      <c r="H294">
        <v>833850</v>
      </c>
      <c r="I294" s="19">
        <v>44835</v>
      </c>
      <c r="J294" t="s">
        <v>12</v>
      </c>
      <c r="K294">
        <v>2022</v>
      </c>
    </row>
    <row r="295" spans="1:11" x14ac:dyDescent="0.3">
      <c r="A295" t="s">
        <v>16</v>
      </c>
      <c r="B295" t="s">
        <v>15</v>
      </c>
      <c r="C295" t="s">
        <v>21</v>
      </c>
      <c r="D295">
        <v>1321</v>
      </c>
      <c r="E295">
        <v>350</v>
      </c>
      <c r="F295">
        <v>462350</v>
      </c>
      <c r="G295">
        <v>539760</v>
      </c>
      <c r="H295">
        <v>-77410</v>
      </c>
      <c r="I295" s="19">
        <v>44835</v>
      </c>
      <c r="J295" t="s">
        <v>12</v>
      </c>
      <c r="K295">
        <v>2022</v>
      </c>
    </row>
    <row r="296" spans="1:11" x14ac:dyDescent="0.3">
      <c r="A296" t="s">
        <v>7</v>
      </c>
      <c r="B296" t="s">
        <v>6</v>
      </c>
      <c r="C296" t="s">
        <v>1</v>
      </c>
      <c r="D296">
        <v>3999</v>
      </c>
      <c r="E296">
        <v>15</v>
      </c>
      <c r="F296">
        <v>59985</v>
      </c>
      <c r="G296">
        <v>28440</v>
      </c>
      <c r="H296">
        <v>31545</v>
      </c>
      <c r="I296" s="19">
        <v>45078</v>
      </c>
      <c r="J296" t="s">
        <v>26</v>
      </c>
      <c r="K296">
        <v>2023</v>
      </c>
    </row>
    <row r="297" spans="1:11" x14ac:dyDescent="0.3">
      <c r="A297" t="s">
        <v>11</v>
      </c>
      <c r="B297" t="s">
        <v>10</v>
      </c>
      <c r="C297" t="s">
        <v>1</v>
      </c>
      <c r="D297">
        <v>4256</v>
      </c>
      <c r="E297">
        <v>7</v>
      </c>
      <c r="F297">
        <v>29792</v>
      </c>
      <c r="G297">
        <v>7490</v>
      </c>
      <c r="H297">
        <v>22302</v>
      </c>
      <c r="I297" s="19">
        <v>45078</v>
      </c>
      <c r="J297" t="s">
        <v>26</v>
      </c>
      <c r="K297">
        <v>2023</v>
      </c>
    </row>
    <row r="298" spans="1:11" x14ac:dyDescent="0.3">
      <c r="A298" t="s">
        <v>16</v>
      </c>
      <c r="B298" t="s">
        <v>15</v>
      </c>
      <c r="C298" t="s">
        <v>1</v>
      </c>
      <c r="D298">
        <v>1643</v>
      </c>
      <c r="E298">
        <v>300</v>
      </c>
      <c r="F298">
        <v>492900</v>
      </c>
      <c r="G298">
        <v>305250</v>
      </c>
      <c r="H298">
        <v>187650</v>
      </c>
      <c r="I298" s="19">
        <v>44835</v>
      </c>
      <c r="J298" t="s">
        <v>12</v>
      </c>
      <c r="K298">
        <v>2022</v>
      </c>
    </row>
    <row r="299" spans="1:11" x14ac:dyDescent="0.3">
      <c r="A299" t="s">
        <v>11</v>
      </c>
      <c r="B299" t="s">
        <v>10</v>
      </c>
      <c r="C299" t="s">
        <v>1</v>
      </c>
      <c r="D299">
        <v>1912</v>
      </c>
      <c r="E299">
        <v>20</v>
      </c>
      <c r="F299">
        <v>38240</v>
      </c>
      <c r="G299">
        <v>11230</v>
      </c>
      <c r="H299">
        <v>27010</v>
      </c>
      <c r="I299" s="19">
        <v>44866</v>
      </c>
      <c r="J299" t="s">
        <v>18</v>
      </c>
      <c r="K299">
        <v>2022</v>
      </c>
    </row>
    <row r="300" spans="1:11" x14ac:dyDescent="0.3">
      <c r="A300" t="s">
        <v>7</v>
      </c>
      <c r="B300" t="s">
        <v>6</v>
      </c>
      <c r="C300" t="s">
        <v>1</v>
      </c>
      <c r="D300">
        <v>1610</v>
      </c>
      <c r="E300">
        <v>300</v>
      </c>
      <c r="F300">
        <v>483000</v>
      </c>
      <c r="G300">
        <v>609000</v>
      </c>
      <c r="H300">
        <v>-126000</v>
      </c>
      <c r="I300" s="19">
        <v>44896</v>
      </c>
      <c r="J300" t="s">
        <v>17</v>
      </c>
      <c r="K300">
        <v>2022</v>
      </c>
    </row>
    <row r="301" spans="1:11" x14ac:dyDescent="0.3">
      <c r="A301" t="s">
        <v>16</v>
      </c>
      <c r="B301" t="s">
        <v>15</v>
      </c>
      <c r="C301" t="s">
        <v>13</v>
      </c>
      <c r="D301">
        <v>2160</v>
      </c>
      <c r="E301">
        <v>125</v>
      </c>
      <c r="F301">
        <v>270000</v>
      </c>
      <c r="G301">
        <v>238500</v>
      </c>
      <c r="H301">
        <v>31500</v>
      </c>
      <c r="I301" s="19">
        <v>44927</v>
      </c>
      <c r="J301" t="s">
        <v>25</v>
      </c>
      <c r="K301">
        <v>2023</v>
      </c>
    </row>
    <row r="302" spans="1:11" x14ac:dyDescent="0.3">
      <c r="A302" t="s">
        <v>11</v>
      </c>
      <c r="B302" t="s">
        <v>10</v>
      </c>
      <c r="C302" t="s">
        <v>13</v>
      </c>
      <c r="D302">
        <v>466</v>
      </c>
      <c r="E302">
        <v>350</v>
      </c>
      <c r="F302">
        <v>163100</v>
      </c>
      <c r="G302">
        <v>436540</v>
      </c>
      <c r="H302">
        <v>-273440</v>
      </c>
      <c r="I302" s="19">
        <v>45170</v>
      </c>
      <c r="J302" t="s">
        <v>22</v>
      </c>
      <c r="K302">
        <v>2023</v>
      </c>
    </row>
    <row r="303" spans="1:11" x14ac:dyDescent="0.3">
      <c r="A303" t="s">
        <v>3</v>
      </c>
      <c r="B303" t="s">
        <v>2</v>
      </c>
      <c r="C303" t="s">
        <v>13</v>
      </c>
      <c r="D303">
        <v>328</v>
      </c>
      <c r="E303">
        <v>350</v>
      </c>
      <c r="F303">
        <v>114800</v>
      </c>
      <c r="G303">
        <v>189020</v>
      </c>
      <c r="H303">
        <v>-74220</v>
      </c>
      <c r="I303" s="19">
        <v>44835</v>
      </c>
      <c r="J303" t="s">
        <v>12</v>
      </c>
      <c r="K303">
        <v>2022</v>
      </c>
    </row>
    <row r="304" spans="1:11" x14ac:dyDescent="0.3">
      <c r="A304" t="s">
        <v>16</v>
      </c>
      <c r="B304" t="s">
        <v>15</v>
      </c>
      <c r="C304" t="s">
        <v>13</v>
      </c>
      <c r="D304">
        <v>4099</v>
      </c>
      <c r="E304">
        <v>7</v>
      </c>
      <c r="F304">
        <v>28693</v>
      </c>
      <c r="G304">
        <v>7015</v>
      </c>
      <c r="H304">
        <v>21678</v>
      </c>
      <c r="I304" s="19">
        <v>44835</v>
      </c>
      <c r="J304" t="s">
        <v>12</v>
      </c>
      <c r="K304">
        <v>2022</v>
      </c>
    </row>
    <row r="305" spans="1:11" x14ac:dyDescent="0.3">
      <c r="A305" t="s">
        <v>16</v>
      </c>
      <c r="B305" t="s">
        <v>15</v>
      </c>
      <c r="C305" t="s">
        <v>13</v>
      </c>
      <c r="D305">
        <v>990</v>
      </c>
      <c r="E305">
        <v>350</v>
      </c>
      <c r="F305">
        <v>346500</v>
      </c>
      <c r="G305">
        <v>539760</v>
      </c>
      <c r="H305">
        <v>-193260</v>
      </c>
      <c r="I305" s="19">
        <v>44835</v>
      </c>
      <c r="J305" t="s">
        <v>12</v>
      </c>
      <c r="K305">
        <v>2022</v>
      </c>
    </row>
    <row r="306" spans="1:11" x14ac:dyDescent="0.3">
      <c r="A306" t="s">
        <v>16</v>
      </c>
      <c r="B306" t="s">
        <v>15</v>
      </c>
      <c r="C306" t="s">
        <v>9</v>
      </c>
      <c r="D306">
        <v>1433</v>
      </c>
      <c r="E306">
        <v>20</v>
      </c>
      <c r="F306">
        <v>28660</v>
      </c>
      <c r="G306">
        <v>17570</v>
      </c>
      <c r="H306">
        <v>11090</v>
      </c>
      <c r="I306" s="19">
        <v>44835</v>
      </c>
      <c r="J306" t="s">
        <v>12</v>
      </c>
      <c r="K306">
        <v>2022</v>
      </c>
    </row>
    <row r="307" spans="1:11" x14ac:dyDescent="0.3">
      <c r="A307" t="s">
        <v>3</v>
      </c>
      <c r="B307" t="s">
        <v>2</v>
      </c>
      <c r="C307" t="s">
        <v>5</v>
      </c>
      <c r="D307">
        <v>1478</v>
      </c>
      <c r="E307">
        <v>15</v>
      </c>
      <c r="F307">
        <v>22170</v>
      </c>
      <c r="G307">
        <v>21980</v>
      </c>
      <c r="H307">
        <v>190</v>
      </c>
      <c r="I307" s="19">
        <v>45139</v>
      </c>
      <c r="J307" t="s">
        <v>23</v>
      </c>
      <c r="K307">
        <v>2023</v>
      </c>
    </row>
    <row r="308" spans="1:11" x14ac:dyDescent="0.3">
      <c r="A308" t="s">
        <v>19</v>
      </c>
      <c r="B308" t="s">
        <v>6</v>
      </c>
      <c r="C308" t="s">
        <v>5</v>
      </c>
      <c r="D308">
        <v>3798</v>
      </c>
      <c r="E308">
        <v>15</v>
      </c>
      <c r="F308">
        <v>56970</v>
      </c>
      <c r="G308">
        <v>17430</v>
      </c>
      <c r="H308">
        <v>39540</v>
      </c>
      <c r="I308" s="19">
        <v>45139</v>
      </c>
      <c r="J308" t="s">
        <v>23</v>
      </c>
      <c r="K308">
        <v>2023</v>
      </c>
    </row>
    <row r="309" spans="1:11" x14ac:dyDescent="0.3">
      <c r="A309" t="s">
        <v>3</v>
      </c>
      <c r="B309" t="s">
        <v>2</v>
      </c>
      <c r="C309" t="s">
        <v>5</v>
      </c>
      <c r="D309">
        <v>447</v>
      </c>
      <c r="E309">
        <v>15</v>
      </c>
      <c r="F309">
        <v>6705</v>
      </c>
      <c r="G309">
        <v>11530</v>
      </c>
      <c r="H309">
        <v>-4825</v>
      </c>
      <c r="I309" s="19">
        <v>45200</v>
      </c>
      <c r="J309" t="s">
        <v>12</v>
      </c>
      <c r="K309">
        <v>2023</v>
      </c>
    </row>
    <row r="310" spans="1:11" x14ac:dyDescent="0.3">
      <c r="A310" t="s">
        <v>16</v>
      </c>
      <c r="B310" t="s">
        <v>15</v>
      </c>
      <c r="C310" t="s">
        <v>5</v>
      </c>
      <c r="D310">
        <v>1711</v>
      </c>
      <c r="E310">
        <v>20</v>
      </c>
      <c r="F310">
        <v>34220</v>
      </c>
      <c r="G310">
        <v>17570</v>
      </c>
      <c r="H310">
        <v>16650</v>
      </c>
      <c r="I310" s="19">
        <v>44835</v>
      </c>
      <c r="J310" t="s">
        <v>12</v>
      </c>
      <c r="K310">
        <v>2022</v>
      </c>
    </row>
    <row r="311" spans="1:11" x14ac:dyDescent="0.3">
      <c r="A311" t="s">
        <v>19</v>
      </c>
      <c r="B311" t="s">
        <v>6</v>
      </c>
      <c r="C311" t="s">
        <v>21</v>
      </c>
      <c r="D311">
        <v>745</v>
      </c>
      <c r="E311">
        <v>20</v>
      </c>
      <c r="F311">
        <v>14900</v>
      </c>
      <c r="G311">
        <v>10010</v>
      </c>
      <c r="H311">
        <v>4890</v>
      </c>
      <c r="I311" s="19">
        <v>45139</v>
      </c>
      <c r="J311" t="s">
        <v>23</v>
      </c>
      <c r="K311">
        <v>2023</v>
      </c>
    </row>
    <row r="312" spans="1:11" x14ac:dyDescent="0.3">
      <c r="A312" t="s">
        <v>11</v>
      </c>
      <c r="B312" t="s">
        <v>10</v>
      </c>
      <c r="C312" t="s">
        <v>21</v>
      </c>
      <c r="D312">
        <v>1732</v>
      </c>
      <c r="E312">
        <v>7</v>
      </c>
      <c r="F312">
        <v>12124</v>
      </c>
      <c r="G312">
        <v>6665</v>
      </c>
      <c r="H312">
        <v>5459</v>
      </c>
      <c r="I312" s="19">
        <v>45231</v>
      </c>
      <c r="J312" t="s">
        <v>18</v>
      </c>
      <c r="K312">
        <v>2023</v>
      </c>
    </row>
    <row r="313" spans="1:11" x14ac:dyDescent="0.3">
      <c r="A313" t="s">
        <v>3</v>
      </c>
      <c r="B313" t="s">
        <v>2</v>
      </c>
      <c r="C313" t="s">
        <v>1</v>
      </c>
      <c r="D313">
        <v>1759</v>
      </c>
      <c r="E313">
        <v>15</v>
      </c>
      <c r="F313">
        <v>26385</v>
      </c>
      <c r="G313">
        <v>11530</v>
      </c>
      <c r="H313">
        <v>14855</v>
      </c>
      <c r="I313" s="19">
        <v>45200</v>
      </c>
      <c r="J313" t="s">
        <v>12</v>
      </c>
      <c r="K313">
        <v>2023</v>
      </c>
    </row>
    <row r="314" spans="1:11" x14ac:dyDescent="0.3">
      <c r="A314" t="s">
        <v>11</v>
      </c>
      <c r="B314" t="s">
        <v>10</v>
      </c>
      <c r="C314" t="s">
        <v>24</v>
      </c>
      <c r="D314">
        <v>338</v>
      </c>
      <c r="E314">
        <v>12</v>
      </c>
      <c r="F314">
        <v>4056</v>
      </c>
      <c r="G314">
        <v>2181</v>
      </c>
      <c r="H314">
        <v>1875</v>
      </c>
      <c r="I314" s="19">
        <v>44958</v>
      </c>
      <c r="J314" t="s">
        <v>8</v>
      </c>
      <c r="K314">
        <v>2023</v>
      </c>
    </row>
    <row r="315" spans="1:11" x14ac:dyDescent="0.3">
      <c r="A315" t="s">
        <v>7</v>
      </c>
      <c r="B315" t="s">
        <v>6</v>
      </c>
      <c r="C315" t="s">
        <v>24</v>
      </c>
      <c r="D315">
        <v>3911</v>
      </c>
      <c r="E315">
        <v>12</v>
      </c>
      <c r="F315">
        <v>46932</v>
      </c>
      <c r="G315">
        <v>5652</v>
      </c>
      <c r="H315">
        <v>41280</v>
      </c>
      <c r="I315" s="19">
        <v>45139</v>
      </c>
      <c r="J315" t="s">
        <v>23</v>
      </c>
      <c r="K315">
        <v>2023</v>
      </c>
    </row>
    <row r="316" spans="1:11" x14ac:dyDescent="0.3">
      <c r="A316" t="s">
        <v>11</v>
      </c>
      <c r="B316" t="s">
        <v>10</v>
      </c>
      <c r="C316" t="s">
        <v>24</v>
      </c>
      <c r="D316">
        <v>3691</v>
      </c>
      <c r="E316">
        <v>20</v>
      </c>
      <c r="F316">
        <v>73820</v>
      </c>
      <c r="G316">
        <v>18340</v>
      </c>
      <c r="H316">
        <v>55480</v>
      </c>
      <c r="I316" s="19">
        <v>44805</v>
      </c>
      <c r="J316" t="s">
        <v>22</v>
      </c>
      <c r="K316">
        <v>2022</v>
      </c>
    </row>
    <row r="317" spans="1:11" x14ac:dyDescent="0.3">
      <c r="A317" t="s">
        <v>11</v>
      </c>
      <c r="B317" t="s">
        <v>10</v>
      </c>
      <c r="C317" t="s">
        <v>9</v>
      </c>
      <c r="D317">
        <v>4473</v>
      </c>
      <c r="E317">
        <v>12</v>
      </c>
      <c r="F317">
        <v>53676</v>
      </c>
      <c r="G317">
        <v>7020</v>
      </c>
      <c r="H317">
        <v>46656</v>
      </c>
      <c r="I317" s="19">
        <v>44927</v>
      </c>
      <c r="J317" t="s">
        <v>25</v>
      </c>
      <c r="K317">
        <v>2023</v>
      </c>
    </row>
    <row r="318" spans="1:11" x14ac:dyDescent="0.3">
      <c r="A318" t="s">
        <v>16</v>
      </c>
      <c r="B318" t="s">
        <v>15</v>
      </c>
      <c r="C318" t="s">
        <v>9</v>
      </c>
      <c r="D318">
        <v>383</v>
      </c>
      <c r="E318">
        <v>12</v>
      </c>
      <c r="F318">
        <v>4596</v>
      </c>
      <c r="G318">
        <v>7026</v>
      </c>
      <c r="H318">
        <v>-2430</v>
      </c>
      <c r="I318" s="19">
        <v>45231</v>
      </c>
      <c r="J318" t="s">
        <v>18</v>
      </c>
      <c r="K318">
        <v>2023</v>
      </c>
    </row>
    <row r="319" spans="1:11" x14ac:dyDescent="0.3">
      <c r="A319" t="s">
        <v>16</v>
      </c>
      <c r="B319" t="s">
        <v>15</v>
      </c>
      <c r="C319" t="s">
        <v>5</v>
      </c>
      <c r="D319">
        <v>3105</v>
      </c>
      <c r="E319">
        <v>7</v>
      </c>
      <c r="F319">
        <v>21735</v>
      </c>
      <c r="G319">
        <v>5155</v>
      </c>
      <c r="H319">
        <v>16580</v>
      </c>
      <c r="I319" s="19">
        <v>44805</v>
      </c>
      <c r="J319" t="s">
        <v>22</v>
      </c>
      <c r="K319">
        <v>2022</v>
      </c>
    </row>
    <row r="320" spans="1:11" x14ac:dyDescent="0.3">
      <c r="A320" t="s">
        <v>7</v>
      </c>
      <c r="B320" t="s">
        <v>6</v>
      </c>
      <c r="C320" t="s">
        <v>21</v>
      </c>
      <c r="D320">
        <v>1062</v>
      </c>
      <c r="E320">
        <v>15</v>
      </c>
      <c r="F320">
        <v>15930</v>
      </c>
      <c r="G320">
        <v>12620</v>
      </c>
      <c r="H320">
        <v>3310</v>
      </c>
      <c r="I320" s="19">
        <v>45047</v>
      </c>
      <c r="J320" t="s">
        <v>0</v>
      </c>
      <c r="K320">
        <v>2023</v>
      </c>
    </row>
    <row r="321" spans="1:11" x14ac:dyDescent="0.3">
      <c r="A321" t="s">
        <v>7</v>
      </c>
      <c r="B321" t="s">
        <v>6</v>
      </c>
      <c r="C321" t="s">
        <v>21</v>
      </c>
      <c r="D321">
        <v>4083</v>
      </c>
      <c r="E321">
        <v>7</v>
      </c>
      <c r="F321">
        <v>28581</v>
      </c>
      <c r="G321">
        <v>5675</v>
      </c>
      <c r="H321">
        <v>22906</v>
      </c>
      <c r="I321" s="19">
        <v>45078</v>
      </c>
      <c r="J321" t="s">
        <v>26</v>
      </c>
      <c r="K321">
        <v>2023</v>
      </c>
    </row>
    <row r="322" spans="1:11" x14ac:dyDescent="0.3">
      <c r="A322" t="s">
        <v>3</v>
      </c>
      <c r="B322" t="s">
        <v>2</v>
      </c>
      <c r="C322" t="s">
        <v>21</v>
      </c>
      <c r="D322">
        <v>3974</v>
      </c>
      <c r="E322">
        <v>7</v>
      </c>
      <c r="F322">
        <v>27818</v>
      </c>
      <c r="G322">
        <v>2735</v>
      </c>
      <c r="H322">
        <v>25083</v>
      </c>
      <c r="I322" s="19">
        <v>45231</v>
      </c>
      <c r="J322" t="s">
        <v>18</v>
      </c>
      <c r="K322">
        <v>2023</v>
      </c>
    </row>
    <row r="323" spans="1:11" x14ac:dyDescent="0.3">
      <c r="A323" t="s">
        <v>7</v>
      </c>
      <c r="B323" t="s">
        <v>6</v>
      </c>
      <c r="C323" t="s">
        <v>21</v>
      </c>
      <c r="D323">
        <v>3723</v>
      </c>
      <c r="E323">
        <v>7</v>
      </c>
      <c r="F323">
        <v>26061</v>
      </c>
      <c r="G323">
        <v>7910</v>
      </c>
      <c r="H323">
        <v>18151</v>
      </c>
      <c r="I323" s="19">
        <v>45261</v>
      </c>
      <c r="J323" t="s">
        <v>17</v>
      </c>
      <c r="K323">
        <v>2023</v>
      </c>
    </row>
    <row r="324" spans="1:11" x14ac:dyDescent="0.3">
      <c r="A324" t="s">
        <v>16</v>
      </c>
      <c r="B324" t="s">
        <v>15</v>
      </c>
      <c r="C324" t="s">
        <v>1</v>
      </c>
      <c r="D324">
        <v>2435</v>
      </c>
      <c r="E324">
        <v>12</v>
      </c>
      <c r="F324">
        <v>29220</v>
      </c>
      <c r="G324">
        <v>5215.5</v>
      </c>
      <c r="H324">
        <v>24004.5</v>
      </c>
      <c r="I324" s="19">
        <v>45017</v>
      </c>
      <c r="J324" t="s">
        <v>4</v>
      </c>
      <c r="K324">
        <v>2023</v>
      </c>
    </row>
    <row r="325" spans="1:11" x14ac:dyDescent="0.3">
      <c r="A325" t="s">
        <v>19</v>
      </c>
      <c r="B325" t="s">
        <v>6</v>
      </c>
      <c r="C325" t="s">
        <v>1</v>
      </c>
      <c r="D325">
        <v>1678</v>
      </c>
      <c r="E325">
        <v>12</v>
      </c>
      <c r="F325">
        <v>20136</v>
      </c>
      <c r="G325">
        <v>6645</v>
      </c>
      <c r="H325">
        <v>13491</v>
      </c>
      <c r="I325" s="19">
        <v>44805</v>
      </c>
      <c r="J325" t="s">
        <v>22</v>
      </c>
      <c r="K325">
        <v>2022</v>
      </c>
    </row>
    <row r="326" spans="1:11" x14ac:dyDescent="0.3">
      <c r="A326" t="s">
        <v>7</v>
      </c>
      <c r="B326" t="s">
        <v>6</v>
      </c>
      <c r="C326" t="s">
        <v>1</v>
      </c>
      <c r="D326">
        <v>1763</v>
      </c>
      <c r="E326">
        <v>7</v>
      </c>
      <c r="F326">
        <v>12341</v>
      </c>
      <c r="G326">
        <v>7910</v>
      </c>
      <c r="H326">
        <v>4431</v>
      </c>
      <c r="I326" s="19">
        <v>45261</v>
      </c>
      <c r="J326" t="s">
        <v>17</v>
      </c>
      <c r="K326">
        <v>2023</v>
      </c>
    </row>
    <row r="327" spans="1:11" x14ac:dyDescent="0.3">
      <c r="A327" t="s">
        <v>7</v>
      </c>
      <c r="B327" t="s">
        <v>6</v>
      </c>
      <c r="C327" t="s">
        <v>13</v>
      </c>
      <c r="D327">
        <v>4473</v>
      </c>
      <c r="E327">
        <v>7</v>
      </c>
      <c r="F327">
        <v>31311</v>
      </c>
      <c r="G327">
        <v>5675</v>
      </c>
      <c r="H327">
        <v>25636</v>
      </c>
      <c r="I327" s="19">
        <v>45078</v>
      </c>
      <c r="J327" t="s">
        <v>26</v>
      </c>
      <c r="K327">
        <v>2023</v>
      </c>
    </row>
    <row r="328" spans="1:11" x14ac:dyDescent="0.3">
      <c r="A328" t="s">
        <v>3</v>
      </c>
      <c r="B328" t="s">
        <v>2</v>
      </c>
      <c r="C328" t="s">
        <v>24</v>
      </c>
      <c r="D328">
        <v>1246</v>
      </c>
      <c r="E328">
        <v>350</v>
      </c>
      <c r="F328">
        <v>436100</v>
      </c>
      <c r="G328">
        <v>457860</v>
      </c>
      <c r="H328">
        <v>-21760</v>
      </c>
      <c r="I328" s="19">
        <v>44986</v>
      </c>
      <c r="J328" t="s">
        <v>14</v>
      </c>
      <c r="K328">
        <v>2023</v>
      </c>
    </row>
    <row r="329" spans="1:11" x14ac:dyDescent="0.3">
      <c r="A329" t="s">
        <v>16</v>
      </c>
      <c r="B329" t="s">
        <v>15</v>
      </c>
      <c r="C329" t="s">
        <v>24</v>
      </c>
      <c r="D329">
        <v>1615</v>
      </c>
      <c r="E329">
        <v>300</v>
      </c>
      <c r="F329">
        <v>484500</v>
      </c>
      <c r="G329">
        <v>112000</v>
      </c>
      <c r="H329">
        <v>372500</v>
      </c>
      <c r="I329" s="19">
        <v>45078</v>
      </c>
      <c r="J329" t="s">
        <v>26</v>
      </c>
      <c r="K329">
        <v>2023</v>
      </c>
    </row>
    <row r="330" spans="1:11" x14ac:dyDescent="0.3">
      <c r="A330" t="s">
        <v>16</v>
      </c>
      <c r="B330" t="s">
        <v>15</v>
      </c>
      <c r="C330" t="s">
        <v>24</v>
      </c>
      <c r="D330">
        <v>749</v>
      </c>
      <c r="E330">
        <v>300</v>
      </c>
      <c r="F330">
        <v>224700</v>
      </c>
      <c r="G330">
        <v>545250</v>
      </c>
      <c r="H330">
        <v>-320550</v>
      </c>
      <c r="I330" s="19">
        <v>45200</v>
      </c>
      <c r="J330" t="s">
        <v>12</v>
      </c>
      <c r="K330">
        <v>2023</v>
      </c>
    </row>
    <row r="331" spans="1:11" x14ac:dyDescent="0.3">
      <c r="A331" t="s">
        <v>16</v>
      </c>
      <c r="B331" t="s">
        <v>15</v>
      </c>
      <c r="C331" t="s">
        <v>9</v>
      </c>
      <c r="D331">
        <v>1318</v>
      </c>
      <c r="E331">
        <v>20</v>
      </c>
      <c r="F331">
        <v>26360</v>
      </c>
      <c r="G331">
        <v>19760</v>
      </c>
      <c r="H331">
        <v>6600</v>
      </c>
      <c r="I331" s="19">
        <v>45200</v>
      </c>
      <c r="J331" t="s">
        <v>12</v>
      </c>
      <c r="K331">
        <v>2023</v>
      </c>
    </row>
    <row r="332" spans="1:11" x14ac:dyDescent="0.3">
      <c r="A332" t="s">
        <v>16</v>
      </c>
      <c r="B332" t="s">
        <v>15</v>
      </c>
      <c r="C332" t="s">
        <v>9</v>
      </c>
      <c r="D332">
        <v>2882</v>
      </c>
      <c r="E332">
        <v>300</v>
      </c>
      <c r="F332">
        <v>864600</v>
      </c>
      <c r="G332">
        <v>545250</v>
      </c>
      <c r="H332">
        <v>319350</v>
      </c>
      <c r="I332" s="19">
        <v>45200</v>
      </c>
      <c r="J332" t="s">
        <v>12</v>
      </c>
      <c r="K332">
        <v>2023</v>
      </c>
    </row>
    <row r="333" spans="1:11" x14ac:dyDescent="0.3">
      <c r="A333" t="s">
        <v>19</v>
      </c>
      <c r="B333" t="s">
        <v>6</v>
      </c>
      <c r="C333" t="s">
        <v>9</v>
      </c>
      <c r="D333">
        <v>3039</v>
      </c>
      <c r="E333">
        <v>125</v>
      </c>
      <c r="F333">
        <v>379875</v>
      </c>
      <c r="G333">
        <v>300000</v>
      </c>
      <c r="H333">
        <v>79875</v>
      </c>
      <c r="I333" s="19">
        <v>44866</v>
      </c>
      <c r="J333" t="s">
        <v>18</v>
      </c>
      <c r="K333">
        <v>2022</v>
      </c>
    </row>
    <row r="334" spans="1:11" x14ac:dyDescent="0.3">
      <c r="A334" t="s">
        <v>7</v>
      </c>
      <c r="B334" t="s">
        <v>6</v>
      </c>
      <c r="C334" t="s">
        <v>5</v>
      </c>
      <c r="D334">
        <v>2484</v>
      </c>
      <c r="E334">
        <v>300</v>
      </c>
      <c r="F334">
        <v>745200</v>
      </c>
      <c r="G334">
        <v>425500</v>
      </c>
      <c r="H334">
        <v>319700</v>
      </c>
      <c r="I334" s="19">
        <v>45047</v>
      </c>
      <c r="J334" t="s">
        <v>0</v>
      </c>
      <c r="K334">
        <v>2023</v>
      </c>
    </row>
    <row r="335" spans="1:11" x14ac:dyDescent="0.3">
      <c r="A335" t="s">
        <v>16</v>
      </c>
      <c r="B335" t="s">
        <v>15</v>
      </c>
      <c r="C335" t="s">
        <v>5</v>
      </c>
      <c r="D335">
        <v>3169</v>
      </c>
      <c r="E335">
        <v>300</v>
      </c>
      <c r="F335">
        <v>950700</v>
      </c>
      <c r="G335">
        <v>112000</v>
      </c>
      <c r="H335">
        <v>838700</v>
      </c>
      <c r="I335" s="19">
        <v>45078</v>
      </c>
      <c r="J335" t="s">
        <v>26</v>
      </c>
      <c r="K335">
        <v>2023</v>
      </c>
    </row>
    <row r="336" spans="1:11" x14ac:dyDescent="0.3">
      <c r="A336" t="s">
        <v>19</v>
      </c>
      <c r="B336" t="s">
        <v>6</v>
      </c>
      <c r="C336" t="s">
        <v>5</v>
      </c>
      <c r="D336">
        <v>4080</v>
      </c>
      <c r="E336">
        <v>125</v>
      </c>
      <c r="F336">
        <v>510000</v>
      </c>
      <c r="G336">
        <v>421560</v>
      </c>
      <c r="H336">
        <v>88440</v>
      </c>
      <c r="I336" s="19">
        <v>45108</v>
      </c>
      <c r="J336" t="s">
        <v>20</v>
      </c>
      <c r="K336">
        <v>2023</v>
      </c>
    </row>
    <row r="337" spans="1:11" x14ac:dyDescent="0.3">
      <c r="A337" t="s">
        <v>16</v>
      </c>
      <c r="B337" t="s">
        <v>15</v>
      </c>
      <c r="C337" t="s">
        <v>5</v>
      </c>
      <c r="D337">
        <v>3943</v>
      </c>
      <c r="E337">
        <v>15</v>
      </c>
      <c r="F337">
        <v>59145</v>
      </c>
      <c r="G337">
        <v>21010</v>
      </c>
      <c r="H337">
        <v>38135</v>
      </c>
      <c r="I337" s="19">
        <v>45139</v>
      </c>
      <c r="J337" t="s">
        <v>23</v>
      </c>
      <c r="K337">
        <v>2023</v>
      </c>
    </row>
    <row r="338" spans="1:11" x14ac:dyDescent="0.3">
      <c r="A338" t="s">
        <v>3</v>
      </c>
      <c r="B338" t="s">
        <v>2</v>
      </c>
      <c r="C338" t="s">
        <v>5</v>
      </c>
      <c r="D338">
        <v>784</v>
      </c>
      <c r="E338">
        <v>15</v>
      </c>
      <c r="F338">
        <v>11760</v>
      </c>
      <c r="G338">
        <v>29310</v>
      </c>
      <c r="H338">
        <v>-17550</v>
      </c>
      <c r="I338" s="19">
        <v>44805</v>
      </c>
      <c r="J338" t="s">
        <v>22</v>
      </c>
      <c r="K338">
        <v>2022</v>
      </c>
    </row>
    <row r="339" spans="1:11" x14ac:dyDescent="0.3">
      <c r="A339" t="s">
        <v>16</v>
      </c>
      <c r="B339" t="s">
        <v>15</v>
      </c>
      <c r="C339" t="s">
        <v>5</v>
      </c>
      <c r="D339">
        <v>253</v>
      </c>
      <c r="E339">
        <v>20</v>
      </c>
      <c r="F339">
        <v>5060</v>
      </c>
      <c r="G339">
        <v>15350</v>
      </c>
      <c r="H339">
        <v>-10290</v>
      </c>
      <c r="I339" s="19">
        <v>45170</v>
      </c>
      <c r="J339" t="s">
        <v>22</v>
      </c>
      <c r="K339">
        <v>2023</v>
      </c>
    </row>
    <row r="340" spans="1:11" x14ac:dyDescent="0.3">
      <c r="A340" t="s">
        <v>19</v>
      </c>
      <c r="B340" t="s">
        <v>6</v>
      </c>
      <c r="C340" t="s">
        <v>5</v>
      </c>
      <c r="D340">
        <v>1316</v>
      </c>
      <c r="E340">
        <v>300</v>
      </c>
      <c r="F340">
        <v>394800</v>
      </c>
      <c r="G340">
        <v>280750</v>
      </c>
      <c r="H340">
        <v>114050</v>
      </c>
      <c r="I340" s="19">
        <v>44805</v>
      </c>
      <c r="J340" t="s">
        <v>22</v>
      </c>
      <c r="K340">
        <v>2022</v>
      </c>
    </row>
    <row r="341" spans="1:11" x14ac:dyDescent="0.3">
      <c r="A341" t="s">
        <v>7</v>
      </c>
      <c r="B341" t="s">
        <v>6</v>
      </c>
      <c r="C341" t="s">
        <v>5</v>
      </c>
      <c r="D341">
        <v>808</v>
      </c>
      <c r="E341">
        <v>300</v>
      </c>
      <c r="F341">
        <v>242400</v>
      </c>
      <c r="G341">
        <v>351000</v>
      </c>
      <c r="H341">
        <v>-108600</v>
      </c>
      <c r="I341" s="19">
        <v>44866</v>
      </c>
      <c r="J341" t="s">
        <v>18</v>
      </c>
      <c r="K341">
        <v>2022</v>
      </c>
    </row>
    <row r="342" spans="1:11" x14ac:dyDescent="0.3">
      <c r="A342" t="s">
        <v>11</v>
      </c>
      <c r="B342" t="s">
        <v>10</v>
      </c>
      <c r="C342" t="s">
        <v>5</v>
      </c>
      <c r="D342">
        <v>3295</v>
      </c>
      <c r="E342">
        <v>12</v>
      </c>
      <c r="F342">
        <v>39540</v>
      </c>
      <c r="G342">
        <v>8289</v>
      </c>
      <c r="H342">
        <v>31251</v>
      </c>
      <c r="I342" s="19">
        <v>44866</v>
      </c>
      <c r="J342" t="s">
        <v>18</v>
      </c>
      <c r="K342">
        <v>2022</v>
      </c>
    </row>
    <row r="343" spans="1:11" x14ac:dyDescent="0.3">
      <c r="A343" t="s">
        <v>19</v>
      </c>
      <c r="B343" t="s">
        <v>6</v>
      </c>
      <c r="C343" t="s">
        <v>5</v>
      </c>
      <c r="D343">
        <v>520</v>
      </c>
      <c r="E343">
        <v>7</v>
      </c>
      <c r="F343">
        <v>3640</v>
      </c>
      <c r="G343">
        <v>10625</v>
      </c>
      <c r="H343">
        <v>-6985</v>
      </c>
      <c r="I343" s="19">
        <v>44896</v>
      </c>
      <c r="J343" t="s">
        <v>17</v>
      </c>
      <c r="K343">
        <v>2022</v>
      </c>
    </row>
    <row r="344" spans="1:11" x14ac:dyDescent="0.3">
      <c r="A344" t="s">
        <v>16</v>
      </c>
      <c r="B344" t="s">
        <v>15</v>
      </c>
      <c r="C344" t="s">
        <v>21</v>
      </c>
      <c r="D344">
        <v>799</v>
      </c>
      <c r="E344">
        <v>300</v>
      </c>
      <c r="F344">
        <v>239700</v>
      </c>
      <c r="G344">
        <v>414750</v>
      </c>
      <c r="H344">
        <v>-175050</v>
      </c>
      <c r="I344" s="19">
        <v>45108</v>
      </c>
      <c r="J344" t="s">
        <v>20</v>
      </c>
      <c r="K344">
        <v>2023</v>
      </c>
    </row>
    <row r="345" spans="1:11" x14ac:dyDescent="0.3">
      <c r="A345" t="s">
        <v>11</v>
      </c>
      <c r="B345" t="s">
        <v>10</v>
      </c>
      <c r="C345" t="s">
        <v>21</v>
      </c>
      <c r="D345">
        <v>3942</v>
      </c>
      <c r="E345">
        <v>20</v>
      </c>
      <c r="F345">
        <v>78840</v>
      </c>
      <c r="G345">
        <v>6090</v>
      </c>
      <c r="H345">
        <v>72750</v>
      </c>
      <c r="I345" s="19">
        <v>45139</v>
      </c>
      <c r="J345" t="s">
        <v>23</v>
      </c>
      <c r="K345">
        <v>2023</v>
      </c>
    </row>
    <row r="346" spans="1:11" x14ac:dyDescent="0.3">
      <c r="A346" t="s">
        <v>19</v>
      </c>
      <c r="B346" t="s">
        <v>6</v>
      </c>
      <c r="C346" t="s">
        <v>21</v>
      </c>
      <c r="D346">
        <v>2498</v>
      </c>
      <c r="E346">
        <v>125</v>
      </c>
      <c r="F346">
        <v>312250</v>
      </c>
      <c r="G346">
        <v>250440</v>
      </c>
      <c r="H346">
        <v>61810</v>
      </c>
      <c r="I346" s="19">
        <v>45170</v>
      </c>
      <c r="J346" t="s">
        <v>22</v>
      </c>
      <c r="K346">
        <v>2023</v>
      </c>
    </row>
    <row r="347" spans="1:11" x14ac:dyDescent="0.3">
      <c r="A347" t="s">
        <v>16</v>
      </c>
      <c r="B347" t="s">
        <v>15</v>
      </c>
      <c r="C347" t="s">
        <v>21</v>
      </c>
      <c r="D347">
        <v>2517</v>
      </c>
      <c r="E347">
        <v>20</v>
      </c>
      <c r="F347">
        <v>50340</v>
      </c>
      <c r="G347">
        <v>19760</v>
      </c>
      <c r="H347">
        <v>30580</v>
      </c>
      <c r="I347" s="19">
        <v>45200</v>
      </c>
      <c r="J347" t="s">
        <v>12</v>
      </c>
      <c r="K347">
        <v>2023</v>
      </c>
    </row>
    <row r="348" spans="1:11" x14ac:dyDescent="0.3">
      <c r="A348" t="s">
        <v>3</v>
      </c>
      <c r="B348" t="s">
        <v>2</v>
      </c>
      <c r="C348" t="s">
        <v>21</v>
      </c>
      <c r="D348">
        <v>3182</v>
      </c>
      <c r="E348">
        <v>20</v>
      </c>
      <c r="F348">
        <v>63640</v>
      </c>
      <c r="G348">
        <v>14210</v>
      </c>
      <c r="H348">
        <v>49430</v>
      </c>
      <c r="I348" s="19">
        <v>44896</v>
      </c>
      <c r="J348" t="s">
        <v>17</v>
      </c>
      <c r="K348">
        <v>2022</v>
      </c>
    </row>
    <row r="349" spans="1:11" x14ac:dyDescent="0.3">
      <c r="A349" t="s">
        <v>3</v>
      </c>
      <c r="B349" t="s">
        <v>2</v>
      </c>
      <c r="C349" t="s">
        <v>21</v>
      </c>
      <c r="D349">
        <v>1145</v>
      </c>
      <c r="E349">
        <v>300</v>
      </c>
      <c r="F349">
        <v>343500</v>
      </c>
      <c r="G349">
        <v>343000</v>
      </c>
      <c r="H349">
        <v>500</v>
      </c>
      <c r="I349" s="19">
        <v>45261</v>
      </c>
      <c r="J349" t="s">
        <v>17</v>
      </c>
      <c r="K349">
        <v>2023</v>
      </c>
    </row>
    <row r="350" spans="1:11" x14ac:dyDescent="0.3">
      <c r="A350" t="s">
        <v>19</v>
      </c>
      <c r="B350" t="s">
        <v>6</v>
      </c>
      <c r="C350" t="s">
        <v>21</v>
      </c>
      <c r="D350">
        <v>895</v>
      </c>
      <c r="E350">
        <v>20</v>
      </c>
      <c r="F350">
        <v>17900</v>
      </c>
      <c r="G350">
        <v>5880</v>
      </c>
      <c r="H350">
        <v>12020</v>
      </c>
      <c r="I350" s="19">
        <v>44896</v>
      </c>
      <c r="J350" t="s">
        <v>17</v>
      </c>
      <c r="K350">
        <v>2022</v>
      </c>
    </row>
    <row r="351" spans="1:11" x14ac:dyDescent="0.3">
      <c r="A351" t="s">
        <v>7</v>
      </c>
      <c r="B351" t="s">
        <v>6</v>
      </c>
      <c r="C351" t="s">
        <v>1</v>
      </c>
      <c r="D351">
        <v>3814</v>
      </c>
      <c r="E351">
        <v>12</v>
      </c>
      <c r="F351">
        <v>45768</v>
      </c>
      <c r="G351">
        <v>9733.5</v>
      </c>
      <c r="H351">
        <v>36034.5</v>
      </c>
      <c r="I351" s="19">
        <v>44927</v>
      </c>
      <c r="J351" t="s">
        <v>25</v>
      </c>
      <c r="K351">
        <v>2023</v>
      </c>
    </row>
    <row r="352" spans="1:11" x14ac:dyDescent="0.3">
      <c r="A352" t="s">
        <v>16</v>
      </c>
      <c r="B352" t="s">
        <v>15</v>
      </c>
      <c r="C352" t="s">
        <v>1</v>
      </c>
      <c r="D352">
        <v>1188</v>
      </c>
      <c r="E352">
        <v>300</v>
      </c>
      <c r="F352">
        <v>356400</v>
      </c>
      <c r="G352">
        <v>239750</v>
      </c>
      <c r="H352">
        <v>116650</v>
      </c>
      <c r="I352" s="19">
        <v>44958</v>
      </c>
      <c r="J352" t="s">
        <v>8</v>
      </c>
      <c r="K352">
        <v>2023</v>
      </c>
    </row>
    <row r="353" spans="1:11" x14ac:dyDescent="0.3">
      <c r="A353" t="s">
        <v>11</v>
      </c>
      <c r="B353" t="s">
        <v>10</v>
      </c>
      <c r="C353" t="s">
        <v>1</v>
      </c>
      <c r="D353">
        <v>2233</v>
      </c>
      <c r="E353">
        <v>300</v>
      </c>
      <c r="F353">
        <v>669900</v>
      </c>
      <c r="G353">
        <v>686750</v>
      </c>
      <c r="H353">
        <v>-16850</v>
      </c>
      <c r="I353" s="19">
        <v>44958</v>
      </c>
      <c r="J353" t="s">
        <v>8</v>
      </c>
      <c r="K353">
        <v>2023</v>
      </c>
    </row>
    <row r="354" spans="1:11" x14ac:dyDescent="0.3">
      <c r="A354" t="s">
        <v>7</v>
      </c>
      <c r="B354" t="s">
        <v>6</v>
      </c>
      <c r="C354" t="s">
        <v>13</v>
      </c>
      <c r="D354">
        <v>421</v>
      </c>
      <c r="E354">
        <v>125</v>
      </c>
      <c r="F354">
        <v>52625</v>
      </c>
      <c r="G354">
        <v>197400</v>
      </c>
      <c r="H354">
        <v>-144775</v>
      </c>
      <c r="I354" s="19">
        <v>45047</v>
      </c>
      <c r="J354" t="s">
        <v>0</v>
      </c>
      <c r="K354">
        <v>2023</v>
      </c>
    </row>
    <row r="355" spans="1:11" x14ac:dyDescent="0.3">
      <c r="A355" t="s">
        <v>16</v>
      </c>
      <c r="B355" t="s">
        <v>15</v>
      </c>
      <c r="C355" t="s">
        <v>13</v>
      </c>
      <c r="D355">
        <v>269</v>
      </c>
      <c r="E355">
        <v>350</v>
      </c>
      <c r="F355">
        <v>94150</v>
      </c>
      <c r="G355">
        <v>747760</v>
      </c>
      <c r="H355">
        <v>-653610</v>
      </c>
      <c r="I355" s="19">
        <v>45170</v>
      </c>
      <c r="J355" t="s">
        <v>22</v>
      </c>
      <c r="K355">
        <v>2023</v>
      </c>
    </row>
    <row r="356" spans="1:11" x14ac:dyDescent="0.3">
      <c r="A356" t="s">
        <v>19</v>
      </c>
      <c r="B356" t="s">
        <v>6</v>
      </c>
      <c r="C356" t="s">
        <v>13</v>
      </c>
      <c r="D356">
        <v>3766</v>
      </c>
      <c r="E356">
        <v>125</v>
      </c>
      <c r="F356">
        <v>470750</v>
      </c>
      <c r="G356">
        <v>119280</v>
      </c>
      <c r="H356">
        <v>351470</v>
      </c>
      <c r="I356" s="19">
        <v>44805</v>
      </c>
      <c r="J356" t="s">
        <v>22</v>
      </c>
      <c r="K356">
        <v>2022</v>
      </c>
    </row>
    <row r="357" spans="1:11" x14ac:dyDescent="0.3">
      <c r="A357" t="s">
        <v>7</v>
      </c>
      <c r="B357" t="s">
        <v>6</v>
      </c>
      <c r="C357" t="s">
        <v>13</v>
      </c>
      <c r="D357">
        <v>952</v>
      </c>
      <c r="E357">
        <v>20</v>
      </c>
      <c r="F357">
        <v>19040</v>
      </c>
      <c r="G357">
        <v>11180</v>
      </c>
      <c r="H357">
        <v>7860</v>
      </c>
      <c r="I357" s="19">
        <v>45231</v>
      </c>
      <c r="J357" t="s">
        <v>18</v>
      </c>
      <c r="K357">
        <v>2023</v>
      </c>
    </row>
    <row r="358" spans="1:11" x14ac:dyDescent="0.3">
      <c r="A358" t="s">
        <v>3</v>
      </c>
      <c r="B358" t="s">
        <v>2</v>
      </c>
      <c r="C358" t="s">
        <v>13</v>
      </c>
      <c r="D358">
        <v>2964</v>
      </c>
      <c r="E358">
        <v>300</v>
      </c>
      <c r="F358">
        <v>889200</v>
      </c>
      <c r="G358">
        <v>343000</v>
      </c>
      <c r="H358">
        <v>546200</v>
      </c>
      <c r="I358" s="19">
        <v>45261</v>
      </c>
      <c r="J358" t="s">
        <v>17</v>
      </c>
      <c r="K358">
        <v>2023</v>
      </c>
    </row>
    <row r="359" spans="1:11" x14ac:dyDescent="0.3">
      <c r="A359" t="s">
        <v>7</v>
      </c>
      <c r="B359" t="s">
        <v>6</v>
      </c>
      <c r="C359" t="s">
        <v>9</v>
      </c>
      <c r="D359">
        <v>1505</v>
      </c>
      <c r="E359">
        <v>7</v>
      </c>
      <c r="F359">
        <v>10535</v>
      </c>
      <c r="G359">
        <v>2440</v>
      </c>
      <c r="H359">
        <v>8095</v>
      </c>
      <c r="I359" s="19">
        <v>44958</v>
      </c>
      <c r="J359" t="s">
        <v>8</v>
      </c>
      <c r="K359">
        <v>2023</v>
      </c>
    </row>
    <row r="360" spans="1:11" x14ac:dyDescent="0.3">
      <c r="A360" t="s">
        <v>3</v>
      </c>
      <c r="B360" t="s">
        <v>2</v>
      </c>
      <c r="C360" t="s">
        <v>9</v>
      </c>
      <c r="D360">
        <v>1678</v>
      </c>
      <c r="E360">
        <v>20</v>
      </c>
      <c r="F360">
        <v>33560</v>
      </c>
      <c r="G360">
        <v>12820</v>
      </c>
      <c r="H360">
        <v>20740</v>
      </c>
      <c r="I360" s="19">
        <v>45078</v>
      </c>
      <c r="J360" t="s">
        <v>26</v>
      </c>
      <c r="K360">
        <v>2023</v>
      </c>
    </row>
    <row r="361" spans="1:11" x14ac:dyDescent="0.3">
      <c r="A361" t="s">
        <v>7</v>
      </c>
      <c r="B361" t="s">
        <v>6</v>
      </c>
      <c r="C361" t="s">
        <v>5</v>
      </c>
      <c r="D361">
        <v>4249</v>
      </c>
      <c r="E361">
        <v>7</v>
      </c>
      <c r="F361">
        <v>29743</v>
      </c>
      <c r="G361">
        <v>1285</v>
      </c>
      <c r="H361">
        <v>28458</v>
      </c>
      <c r="I361" s="19">
        <v>45047</v>
      </c>
      <c r="J361" t="s">
        <v>0</v>
      </c>
      <c r="K361">
        <v>2023</v>
      </c>
    </row>
    <row r="362" spans="1:11" x14ac:dyDescent="0.3">
      <c r="A362" t="s">
        <v>3</v>
      </c>
      <c r="B362" t="s">
        <v>2</v>
      </c>
      <c r="C362" t="s">
        <v>13</v>
      </c>
      <c r="D362">
        <v>1677</v>
      </c>
      <c r="E362">
        <v>20</v>
      </c>
      <c r="F362">
        <v>33540</v>
      </c>
      <c r="G362">
        <v>12820</v>
      </c>
      <c r="H362">
        <v>20720</v>
      </c>
      <c r="I362" s="19">
        <v>45078</v>
      </c>
      <c r="J362" t="s">
        <v>26</v>
      </c>
      <c r="K362">
        <v>2023</v>
      </c>
    </row>
    <row r="363" spans="1:11" x14ac:dyDescent="0.3">
      <c r="A363" t="s">
        <v>11</v>
      </c>
      <c r="B363" t="s">
        <v>10</v>
      </c>
      <c r="C363" t="s">
        <v>24</v>
      </c>
      <c r="D363">
        <v>3051</v>
      </c>
      <c r="E363">
        <v>125</v>
      </c>
      <c r="F363">
        <v>381375</v>
      </c>
      <c r="G363">
        <v>184800</v>
      </c>
      <c r="H363">
        <v>196575</v>
      </c>
      <c r="I363" s="19">
        <v>45139</v>
      </c>
      <c r="J363" t="s">
        <v>23</v>
      </c>
      <c r="K363">
        <v>2023</v>
      </c>
    </row>
    <row r="364" spans="1:11" x14ac:dyDescent="0.3">
      <c r="A364" t="s">
        <v>16</v>
      </c>
      <c r="B364" t="s">
        <v>15</v>
      </c>
      <c r="C364" t="s">
        <v>24</v>
      </c>
      <c r="D364">
        <v>3372</v>
      </c>
      <c r="E364">
        <v>15</v>
      </c>
      <c r="F364">
        <v>50580</v>
      </c>
      <c r="G364">
        <v>4900</v>
      </c>
      <c r="H364">
        <v>45680</v>
      </c>
      <c r="I364" s="19">
        <v>45231</v>
      </c>
      <c r="J364" t="s">
        <v>18</v>
      </c>
      <c r="K364">
        <v>2023</v>
      </c>
    </row>
    <row r="365" spans="1:11" x14ac:dyDescent="0.3">
      <c r="A365" t="s">
        <v>11</v>
      </c>
      <c r="B365" t="s">
        <v>10</v>
      </c>
      <c r="C365" t="s">
        <v>24</v>
      </c>
      <c r="D365">
        <v>1686</v>
      </c>
      <c r="E365">
        <v>350</v>
      </c>
      <c r="F365">
        <v>590100</v>
      </c>
      <c r="G365">
        <v>354120</v>
      </c>
      <c r="H365">
        <v>235980</v>
      </c>
      <c r="I365" s="19">
        <v>45261</v>
      </c>
      <c r="J365" t="s">
        <v>17</v>
      </c>
      <c r="K365">
        <v>2023</v>
      </c>
    </row>
    <row r="366" spans="1:11" x14ac:dyDescent="0.3">
      <c r="A366" t="s">
        <v>16</v>
      </c>
      <c r="B366" t="s">
        <v>15</v>
      </c>
      <c r="C366" t="s">
        <v>9</v>
      </c>
      <c r="D366">
        <v>3086</v>
      </c>
      <c r="E366">
        <v>15</v>
      </c>
      <c r="F366">
        <v>46290</v>
      </c>
      <c r="G366">
        <v>25010</v>
      </c>
      <c r="H366">
        <v>21280</v>
      </c>
      <c r="I366" s="19">
        <v>44986</v>
      </c>
      <c r="J366" t="s">
        <v>14</v>
      </c>
      <c r="K366">
        <v>2023</v>
      </c>
    </row>
    <row r="367" spans="1:11" x14ac:dyDescent="0.3">
      <c r="A367" t="s">
        <v>7</v>
      </c>
      <c r="B367" t="s">
        <v>6</v>
      </c>
      <c r="C367" t="s">
        <v>9</v>
      </c>
      <c r="D367">
        <v>4150</v>
      </c>
      <c r="E367">
        <v>20</v>
      </c>
      <c r="F367">
        <v>83000</v>
      </c>
      <c r="G367">
        <v>7080</v>
      </c>
      <c r="H367">
        <v>75920</v>
      </c>
      <c r="I367" s="19">
        <v>45078</v>
      </c>
      <c r="J367" t="s">
        <v>26</v>
      </c>
      <c r="K367">
        <v>2023</v>
      </c>
    </row>
    <row r="368" spans="1:11" x14ac:dyDescent="0.3">
      <c r="A368" t="s">
        <v>19</v>
      </c>
      <c r="B368" t="s">
        <v>6</v>
      </c>
      <c r="C368" t="s">
        <v>9</v>
      </c>
      <c r="D368">
        <v>3027</v>
      </c>
      <c r="E368">
        <v>20</v>
      </c>
      <c r="F368">
        <v>60540</v>
      </c>
      <c r="G368">
        <v>6450</v>
      </c>
      <c r="H368">
        <v>54090</v>
      </c>
      <c r="I368" s="19">
        <v>45108</v>
      </c>
      <c r="J368" t="s">
        <v>20</v>
      </c>
      <c r="K368">
        <v>2023</v>
      </c>
    </row>
    <row r="369" spans="1:11" x14ac:dyDescent="0.3">
      <c r="A369" t="s">
        <v>16</v>
      </c>
      <c r="B369" t="s">
        <v>15</v>
      </c>
      <c r="C369" t="s">
        <v>9</v>
      </c>
      <c r="D369">
        <v>4359</v>
      </c>
      <c r="E369">
        <v>300</v>
      </c>
      <c r="F369">
        <v>1307700</v>
      </c>
      <c r="G369">
        <v>390500</v>
      </c>
      <c r="H369">
        <v>917200</v>
      </c>
      <c r="I369" s="19">
        <v>45139</v>
      </c>
      <c r="J369" t="s">
        <v>23</v>
      </c>
      <c r="K369">
        <v>2023</v>
      </c>
    </row>
    <row r="370" spans="1:11" x14ac:dyDescent="0.3">
      <c r="A370" t="s">
        <v>7</v>
      </c>
      <c r="B370" t="s">
        <v>6</v>
      </c>
      <c r="C370" t="s">
        <v>9</v>
      </c>
      <c r="D370">
        <v>3628</v>
      </c>
      <c r="E370">
        <v>300</v>
      </c>
      <c r="F370">
        <v>1088400</v>
      </c>
      <c r="G370">
        <v>320750</v>
      </c>
      <c r="H370">
        <v>767650</v>
      </c>
      <c r="I370" s="19">
        <v>44805</v>
      </c>
      <c r="J370" t="s">
        <v>22</v>
      </c>
      <c r="K370">
        <v>2022</v>
      </c>
    </row>
    <row r="371" spans="1:11" x14ac:dyDescent="0.3">
      <c r="A371" t="s">
        <v>19</v>
      </c>
      <c r="B371" t="s">
        <v>6</v>
      </c>
      <c r="C371" t="s">
        <v>9</v>
      </c>
      <c r="D371">
        <v>1589</v>
      </c>
      <c r="E371">
        <v>15</v>
      </c>
      <c r="F371">
        <v>23835</v>
      </c>
      <c r="G371">
        <v>7110</v>
      </c>
      <c r="H371">
        <v>16725</v>
      </c>
      <c r="I371" s="19">
        <v>45261</v>
      </c>
      <c r="J371" t="s">
        <v>17</v>
      </c>
      <c r="K371">
        <v>2023</v>
      </c>
    </row>
    <row r="372" spans="1:11" x14ac:dyDescent="0.3">
      <c r="A372" t="s">
        <v>11</v>
      </c>
      <c r="B372" t="s">
        <v>10</v>
      </c>
      <c r="C372" t="s">
        <v>5</v>
      </c>
      <c r="D372">
        <v>2679</v>
      </c>
      <c r="E372">
        <v>125</v>
      </c>
      <c r="F372">
        <v>334875</v>
      </c>
      <c r="G372">
        <v>133680</v>
      </c>
      <c r="H372">
        <v>201195</v>
      </c>
      <c r="I372" s="19">
        <v>44986</v>
      </c>
      <c r="J372" t="s">
        <v>14</v>
      </c>
      <c r="K372">
        <v>2023</v>
      </c>
    </row>
    <row r="373" spans="1:11" x14ac:dyDescent="0.3">
      <c r="A373" t="s">
        <v>19</v>
      </c>
      <c r="B373" t="s">
        <v>6</v>
      </c>
      <c r="C373" t="s">
        <v>5</v>
      </c>
      <c r="D373">
        <v>3401</v>
      </c>
      <c r="E373">
        <v>7</v>
      </c>
      <c r="F373">
        <v>23807</v>
      </c>
      <c r="G373">
        <v>6295</v>
      </c>
      <c r="H373">
        <v>17512</v>
      </c>
      <c r="I373" s="19">
        <v>45017</v>
      </c>
      <c r="J373" t="s">
        <v>4</v>
      </c>
      <c r="K373">
        <v>2023</v>
      </c>
    </row>
    <row r="374" spans="1:11" x14ac:dyDescent="0.3">
      <c r="A374" t="s">
        <v>19</v>
      </c>
      <c r="B374" t="s">
        <v>6</v>
      </c>
      <c r="C374" t="s">
        <v>5</v>
      </c>
      <c r="D374">
        <v>2815</v>
      </c>
      <c r="E374">
        <v>7</v>
      </c>
      <c r="F374">
        <v>19705</v>
      </c>
      <c r="G374">
        <v>5475</v>
      </c>
      <c r="H374">
        <v>14230</v>
      </c>
      <c r="I374" s="19">
        <v>45047</v>
      </c>
      <c r="J374" t="s">
        <v>0</v>
      </c>
      <c r="K374">
        <v>2023</v>
      </c>
    </row>
    <row r="375" spans="1:11" x14ac:dyDescent="0.3">
      <c r="A375" t="s">
        <v>19</v>
      </c>
      <c r="B375" t="s">
        <v>6</v>
      </c>
      <c r="C375" t="s">
        <v>5</v>
      </c>
      <c r="D375">
        <v>2964</v>
      </c>
      <c r="E375">
        <v>20</v>
      </c>
      <c r="F375">
        <v>59280</v>
      </c>
      <c r="G375">
        <v>13660</v>
      </c>
      <c r="H375">
        <v>45620</v>
      </c>
      <c r="I375" s="19">
        <v>45078</v>
      </c>
      <c r="J375" t="s">
        <v>26</v>
      </c>
      <c r="K375">
        <v>2023</v>
      </c>
    </row>
    <row r="376" spans="1:11" x14ac:dyDescent="0.3">
      <c r="A376" t="s">
        <v>11</v>
      </c>
      <c r="B376" t="s">
        <v>10</v>
      </c>
      <c r="C376" t="s">
        <v>5</v>
      </c>
      <c r="D376">
        <v>4173</v>
      </c>
      <c r="E376">
        <v>300</v>
      </c>
      <c r="F376">
        <v>1251900</v>
      </c>
      <c r="G376">
        <v>615000</v>
      </c>
      <c r="H376">
        <v>636900</v>
      </c>
      <c r="I376" s="19">
        <v>45078</v>
      </c>
      <c r="J376" t="s">
        <v>26</v>
      </c>
      <c r="K376">
        <v>2023</v>
      </c>
    </row>
    <row r="377" spans="1:11" x14ac:dyDescent="0.3">
      <c r="A377" t="s">
        <v>3</v>
      </c>
      <c r="B377" t="s">
        <v>2</v>
      </c>
      <c r="C377" t="s">
        <v>5</v>
      </c>
      <c r="D377">
        <v>1157</v>
      </c>
      <c r="E377">
        <v>7</v>
      </c>
      <c r="F377">
        <v>8099</v>
      </c>
      <c r="G377">
        <v>3390</v>
      </c>
      <c r="H377">
        <v>4709</v>
      </c>
      <c r="I377" s="19">
        <v>45139</v>
      </c>
      <c r="J377" t="s">
        <v>23</v>
      </c>
      <c r="K377">
        <v>2023</v>
      </c>
    </row>
    <row r="378" spans="1:11" x14ac:dyDescent="0.3">
      <c r="A378" t="s">
        <v>19</v>
      </c>
      <c r="B378" t="s">
        <v>6</v>
      </c>
      <c r="C378" t="s">
        <v>5</v>
      </c>
      <c r="D378">
        <v>3065</v>
      </c>
      <c r="E378">
        <v>7</v>
      </c>
      <c r="F378">
        <v>21455</v>
      </c>
      <c r="G378">
        <v>7990</v>
      </c>
      <c r="H378">
        <v>13465</v>
      </c>
      <c r="I378" s="19">
        <v>45139</v>
      </c>
      <c r="J378" t="s">
        <v>23</v>
      </c>
      <c r="K378">
        <v>2023</v>
      </c>
    </row>
    <row r="379" spans="1:11" x14ac:dyDescent="0.3">
      <c r="A379" t="s">
        <v>19</v>
      </c>
      <c r="B379" t="s">
        <v>6</v>
      </c>
      <c r="C379" t="s">
        <v>5</v>
      </c>
      <c r="D379">
        <v>1962</v>
      </c>
      <c r="E379">
        <v>7</v>
      </c>
      <c r="F379">
        <v>13734</v>
      </c>
      <c r="G379">
        <v>12045</v>
      </c>
      <c r="H379">
        <v>1689</v>
      </c>
      <c r="I379" s="19">
        <v>44805</v>
      </c>
      <c r="J379" t="s">
        <v>22</v>
      </c>
      <c r="K379">
        <v>2022</v>
      </c>
    </row>
    <row r="380" spans="1:11" x14ac:dyDescent="0.3">
      <c r="A380" t="s">
        <v>19</v>
      </c>
      <c r="B380" t="s">
        <v>6</v>
      </c>
      <c r="C380" t="s">
        <v>5</v>
      </c>
      <c r="D380">
        <v>4080</v>
      </c>
      <c r="E380">
        <v>20</v>
      </c>
      <c r="F380">
        <v>81600</v>
      </c>
      <c r="G380">
        <v>19340</v>
      </c>
      <c r="H380">
        <v>62260</v>
      </c>
      <c r="I380" s="19">
        <v>45170</v>
      </c>
      <c r="J380" t="s">
        <v>22</v>
      </c>
      <c r="K380">
        <v>2023</v>
      </c>
    </row>
    <row r="381" spans="1:11" x14ac:dyDescent="0.3">
      <c r="A381" t="s">
        <v>11</v>
      </c>
      <c r="B381" t="s">
        <v>10</v>
      </c>
      <c r="C381" t="s">
        <v>5</v>
      </c>
      <c r="D381">
        <v>1713</v>
      </c>
      <c r="E381">
        <v>20</v>
      </c>
      <c r="F381">
        <v>34260</v>
      </c>
      <c r="G381">
        <v>29930</v>
      </c>
      <c r="H381">
        <v>4330</v>
      </c>
      <c r="I381" s="19">
        <v>45170</v>
      </c>
      <c r="J381" t="s">
        <v>22</v>
      </c>
      <c r="K381">
        <v>2023</v>
      </c>
    </row>
    <row r="382" spans="1:11" x14ac:dyDescent="0.3">
      <c r="A382" t="s">
        <v>19</v>
      </c>
      <c r="B382" t="s">
        <v>6</v>
      </c>
      <c r="C382" t="s">
        <v>5</v>
      </c>
      <c r="D382">
        <v>2795</v>
      </c>
      <c r="E382">
        <v>350</v>
      </c>
      <c r="F382">
        <v>978250</v>
      </c>
      <c r="G382">
        <v>557960</v>
      </c>
      <c r="H382">
        <v>420290</v>
      </c>
      <c r="I382" s="19">
        <v>44866</v>
      </c>
      <c r="J382" t="s">
        <v>18</v>
      </c>
      <c r="K382">
        <v>2022</v>
      </c>
    </row>
    <row r="383" spans="1:11" x14ac:dyDescent="0.3">
      <c r="A383" t="s">
        <v>11</v>
      </c>
      <c r="B383" t="s">
        <v>10</v>
      </c>
      <c r="C383" t="s">
        <v>5</v>
      </c>
      <c r="D383">
        <v>4082</v>
      </c>
      <c r="E383">
        <v>7</v>
      </c>
      <c r="F383">
        <v>28574</v>
      </c>
      <c r="G383">
        <v>9730</v>
      </c>
      <c r="H383">
        <v>18844</v>
      </c>
      <c r="I383" s="19">
        <v>44896</v>
      </c>
      <c r="J383" t="s">
        <v>17</v>
      </c>
      <c r="K383">
        <v>2022</v>
      </c>
    </row>
    <row r="384" spans="1:11" x14ac:dyDescent="0.3">
      <c r="A384" t="s">
        <v>11</v>
      </c>
      <c r="B384" t="s">
        <v>10</v>
      </c>
      <c r="C384" t="s">
        <v>5</v>
      </c>
      <c r="D384">
        <v>1691</v>
      </c>
      <c r="E384">
        <v>350</v>
      </c>
      <c r="F384">
        <v>591850</v>
      </c>
      <c r="G384">
        <v>354120</v>
      </c>
      <c r="H384">
        <v>237730</v>
      </c>
      <c r="I384" s="19">
        <v>45261</v>
      </c>
      <c r="J384" t="s">
        <v>17</v>
      </c>
      <c r="K384">
        <v>2023</v>
      </c>
    </row>
    <row r="385" spans="1:11" x14ac:dyDescent="0.3">
      <c r="A385" t="s">
        <v>7</v>
      </c>
      <c r="B385" t="s">
        <v>6</v>
      </c>
      <c r="C385" t="s">
        <v>21</v>
      </c>
      <c r="D385">
        <v>2305</v>
      </c>
      <c r="E385">
        <v>12</v>
      </c>
      <c r="F385">
        <v>27660</v>
      </c>
      <c r="G385">
        <v>1794</v>
      </c>
      <c r="H385">
        <v>25866</v>
      </c>
      <c r="I385" s="19">
        <v>44986</v>
      </c>
      <c r="J385" t="s">
        <v>14</v>
      </c>
      <c r="K385">
        <v>2023</v>
      </c>
    </row>
    <row r="386" spans="1:11" x14ac:dyDescent="0.3">
      <c r="A386" t="s">
        <v>3</v>
      </c>
      <c r="B386" t="s">
        <v>2</v>
      </c>
      <c r="C386" t="s">
        <v>21</v>
      </c>
      <c r="D386">
        <v>3401</v>
      </c>
      <c r="E386">
        <v>7</v>
      </c>
      <c r="F386">
        <v>23807</v>
      </c>
      <c r="G386">
        <v>14535</v>
      </c>
      <c r="H386">
        <v>9272</v>
      </c>
      <c r="I386" s="19">
        <v>45078</v>
      </c>
      <c r="J386" t="s">
        <v>26</v>
      </c>
      <c r="K386">
        <v>2023</v>
      </c>
    </row>
    <row r="387" spans="1:11" x14ac:dyDescent="0.3">
      <c r="A387" t="s">
        <v>19</v>
      </c>
      <c r="B387" t="s">
        <v>6</v>
      </c>
      <c r="C387" t="s">
        <v>21</v>
      </c>
      <c r="D387">
        <v>2288</v>
      </c>
      <c r="E387">
        <v>7</v>
      </c>
      <c r="F387">
        <v>16016</v>
      </c>
      <c r="G387">
        <v>11690</v>
      </c>
      <c r="H387">
        <v>4326</v>
      </c>
      <c r="I387" s="19">
        <v>45078</v>
      </c>
      <c r="J387" t="s">
        <v>26</v>
      </c>
      <c r="K387">
        <v>2023</v>
      </c>
    </row>
    <row r="388" spans="1:11" x14ac:dyDescent="0.3">
      <c r="A388" t="s">
        <v>16</v>
      </c>
      <c r="B388" t="s">
        <v>15</v>
      </c>
      <c r="C388" t="s">
        <v>21</v>
      </c>
      <c r="D388">
        <v>2399</v>
      </c>
      <c r="E388">
        <v>300</v>
      </c>
      <c r="F388">
        <v>719700</v>
      </c>
      <c r="G388">
        <v>96500</v>
      </c>
      <c r="H388">
        <v>623200</v>
      </c>
      <c r="I388" s="19">
        <v>44866</v>
      </c>
      <c r="J388" t="s">
        <v>18</v>
      </c>
      <c r="K388">
        <v>2022</v>
      </c>
    </row>
    <row r="389" spans="1:11" x14ac:dyDescent="0.3">
      <c r="A389" t="s">
        <v>11</v>
      </c>
      <c r="B389" t="s">
        <v>10</v>
      </c>
      <c r="C389" t="s">
        <v>21</v>
      </c>
      <c r="D389">
        <v>4086</v>
      </c>
      <c r="E389">
        <v>300</v>
      </c>
      <c r="F389">
        <v>1225800</v>
      </c>
      <c r="G389">
        <v>158750</v>
      </c>
      <c r="H389">
        <v>1067050</v>
      </c>
      <c r="I389" s="19">
        <v>45261</v>
      </c>
      <c r="J389" t="s">
        <v>17</v>
      </c>
      <c r="K389">
        <v>2023</v>
      </c>
    </row>
    <row r="390" spans="1:11" x14ac:dyDescent="0.3">
      <c r="A390" t="s">
        <v>16</v>
      </c>
      <c r="B390" t="s">
        <v>15</v>
      </c>
      <c r="C390" t="s">
        <v>1</v>
      </c>
      <c r="D390">
        <v>2651</v>
      </c>
      <c r="E390">
        <v>350</v>
      </c>
      <c r="F390">
        <v>927850</v>
      </c>
      <c r="G390">
        <v>149370</v>
      </c>
      <c r="H390">
        <v>778480</v>
      </c>
      <c r="I390" s="19">
        <v>45017</v>
      </c>
      <c r="J390" t="s">
        <v>4</v>
      </c>
      <c r="K390">
        <v>2023</v>
      </c>
    </row>
    <row r="391" spans="1:11" x14ac:dyDescent="0.3">
      <c r="A391" t="s">
        <v>19</v>
      </c>
      <c r="B391" t="s">
        <v>6</v>
      </c>
      <c r="C391" t="s">
        <v>1</v>
      </c>
      <c r="D391">
        <v>3971</v>
      </c>
      <c r="E391">
        <v>7</v>
      </c>
      <c r="F391">
        <v>27797</v>
      </c>
      <c r="G391">
        <v>11690</v>
      </c>
      <c r="H391">
        <v>16107</v>
      </c>
      <c r="I391" s="19">
        <v>45078</v>
      </c>
      <c r="J391" t="s">
        <v>26</v>
      </c>
      <c r="K391">
        <v>2023</v>
      </c>
    </row>
    <row r="392" spans="1:11" x14ac:dyDescent="0.3">
      <c r="A392" t="s">
        <v>16</v>
      </c>
      <c r="B392" t="s">
        <v>15</v>
      </c>
      <c r="C392" t="s">
        <v>1</v>
      </c>
      <c r="D392">
        <v>2512</v>
      </c>
      <c r="E392">
        <v>350</v>
      </c>
      <c r="F392">
        <v>879200</v>
      </c>
      <c r="G392">
        <v>99060</v>
      </c>
      <c r="H392">
        <v>780140</v>
      </c>
      <c r="I392" s="19">
        <v>45139</v>
      </c>
      <c r="J392" t="s">
        <v>23</v>
      </c>
      <c r="K392">
        <v>2023</v>
      </c>
    </row>
    <row r="393" spans="1:11" x14ac:dyDescent="0.3">
      <c r="A393" t="s">
        <v>19</v>
      </c>
      <c r="B393" t="s">
        <v>6</v>
      </c>
      <c r="C393" t="s">
        <v>1</v>
      </c>
      <c r="D393">
        <v>2745</v>
      </c>
      <c r="E393">
        <v>350</v>
      </c>
      <c r="F393">
        <v>960750</v>
      </c>
      <c r="G393">
        <v>109720</v>
      </c>
      <c r="H393">
        <v>851030</v>
      </c>
      <c r="I393" s="19">
        <v>45139</v>
      </c>
      <c r="J393" t="s">
        <v>23</v>
      </c>
      <c r="K393">
        <v>2023</v>
      </c>
    </row>
    <row r="394" spans="1:11" x14ac:dyDescent="0.3">
      <c r="A394" t="s">
        <v>7</v>
      </c>
      <c r="B394" t="s">
        <v>6</v>
      </c>
      <c r="C394" t="s">
        <v>1</v>
      </c>
      <c r="D394">
        <v>1903</v>
      </c>
      <c r="E394">
        <v>300</v>
      </c>
      <c r="F394">
        <v>570900</v>
      </c>
      <c r="G394">
        <v>533500</v>
      </c>
      <c r="H394">
        <v>37400</v>
      </c>
      <c r="I394" s="19">
        <v>45170</v>
      </c>
      <c r="J394" t="s">
        <v>22</v>
      </c>
      <c r="K394">
        <v>2023</v>
      </c>
    </row>
    <row r="395" spans="1:11" x14ac:dyDescent="0.3">
      <c r="A395" t="s">
        <v>3</v>
      </c>
      <c r="B395" t="s">
        <v>2</v>
      </c>
      <c r="C395" t="s">
        <v>1</v>
      </c>
      <c r="D395">
        <v>647</v>
      </c>
      <c r="E395">
        <v>300</v>
      </c>
      <c r="F395">
        <v>194100</v>
      </c>
      <c r="G395">
        <v>202000</v>
      </c>
      <c r="H395">
        <v>-7900</v>
      </c>
      <c r="I395" s="19">
        <v>44896</v>
      </c>
      <c r="J395" t="s">
        <v>17</v>
      </c>
      <c r="K395">
        <v>2022</v>
      </c>
    </row>
    <row r="396" spans="1:11" x14ac:dyDescent="0.3">
      <c r="A396" t="s">
        <v>7</v>
      </c>
      <c r="B396" t="s">
        <v>6</v>
      </c>
      <c r="C396" t="s">
        <v>13</v>
      </c>
      <c r="D396">
        <v>2914</v>
      </c>
      <c r="E396">
        <v>20</v>
      </c>
      <c r="F396">
        <v>58280</v>
      </c>
      <c r="G396">
        <v>7080</v>
      </c>
      <c r="H396">
        <v>51200</v>
      </c>
      <c r="I396" s="19">
        <v>45078</v>
      </c>
      <c r="J396" t="s">
        <v>26</v>
      </c>
      <c r="K396">
        <v>2023</v>
      </c>
    </row>
    <row r="397" spans="1:11" x14ac:dyDescent="0.3">
      <c r="A397" t="s">
        <v>3</v>
      </c>
      <c r="B397" t="s">
        <v>2</v>
      </c>
      <c r="C397" t="s">
        <v>13</v>
      </c>
      <c r="D397">
        <v>1889</v>
      </c>
      <c r="E397">
        <v>7</v>
      </c>
      <c r="F397">
        <v>13223</v>
      </c>
      <c r="G397">
        <v>14535</v>
      </c>
      <c r="H397">
        <v>-1312</v>
      </c>
      <c r="I397" s="19">
        <v>45078</v>
      </c>
      <c r="J397" t="s">
        <v>26</v>
      </c>
      <c r="K397">
        <v>2023</v>
      </c>
    </row>
    <row r="398" spans="1:11" x14ac:dyDescent="0.3">
      <c r="A398" t="s">
        <v>19</v>
      </c>
      <c r="B398" t="s">
        <v>6</v>
      </c>
      <c r="C398" t="s">
        <v>13</v>
      </c>
      <c r="D398">
        <v>1466</v>
      </c>
      <c r="E398">
        <v>20</v>
      </c>
      <c r="F398">
        <v>29320</v>
      </c>
      <c r="G398">
        <v>13660</v>
      </c>
      <c r="H398">
        <v>15660</v>
      </c>
      <c r="I398" s="19">
        <v>45078</v>
      </c>
      <c r="J398" t="s">
        <v>26</v>
      </c>
      <c r="K398">
        <v>2023</v>
      </c>
    </row>
    <row r="399" spans="1:11" x14ac:dyDescent="0.3">
      <c r="A399" t="s">
        <v>11</v>
      </c>
      <c r="B399" t="s">
        <v>10</v>
      </c>
      <c r="C399" t="s">
        <v>13</v>
      </c>
      <c r="D399">
        <v>887</v>
      </c>
      <c r="E399">
        <v>300</v>
      </c>
      <c r="F399">
        <v>266100</v>
      </c>
      <c r="G399">
        <v>615000</v>
      </c>
      <c r="H399">
        <v>-348900</v>
      </c>
      <c r="I399" s="19">
        <v>45078</v>
      </c>
      <c r="J399" t="s">
        <v>26</v>
      </c>
      <c r="K399">
        <v>2023</v>
      </c>
    </row>
    <row r="400" spans="1:11" x14ac:dyDescent="0.3">
      <c r="A400" t="s">
        <v>19</v>
      </c>
      <c r="B400" t="s">
        <v>6</v>
      </c>
      <c r="C400" t="s">
        <v>13</v>
      </c>
      <c r="D400">
        <v>395</v>
      </c>
      <c r="E400">
        <v>20</v>
      </c>
      <c r="F400">
        <v>7900</v>
      </c>
      <c r="G400">
        <v>15200</v>
      </c>
      <c r="H400">
        <v>-7300</v>
      </c>
      <c r="I400" s="19">
        <v>45231</v>
      </c>
      <c r="J400" t="s">
        <v>18</v>
      </c>
      <c r="K400">
        <v>2023</v>
      </c>
    </row>
    <row r="401" spans="1:11" x14ac:dyDescent="0.3">
      <c r="A401" t="s">
        <v>19</v>
      </c>
      <c r="B401" t="s">
        <v>6</v>
      </c>
      <c r="C401" t="s">
        <v>13</v>
      </c>
      <c r="D401">
        <v>1693</v>
      </c>
      <c r="E401">
        <v>15</v>
      </c>
      <c r="F401">
        <v>25395</v>
      </c>
      <c r="G401">
        <v>7110</v>
      </c>
      <c r="H401">
        <v>18285</v>
      </c>
      <c r="I401" s="19">
        <v>45261</v>
      </c>
      <c r="J401" t="s">
        <v>17</v>
      </c>
      <c r="K401">
        <v>2023</v>
      </c>
    </row>
    <row r="402" spans="1:11" x14ac:dyDescent="0.3">
      <c r="A402" t="s">
        <v>11</v>
      </c>
      <c r="B402" t="s">
        <v>10</v>
      </c>
      <c r="C402" t="s">
        <v>13</v>
      </c>
      <c r="D402">
        <v>2459</v>
      </c>
      <c r="E402">
        <v>12</v>
      </c>
      <c r="F402">
        <v>29508</v>
      </c>
      <c r="G402">
        <v>4125</v>
      </c>
      <c r="H402">
        <v>25383</v>
      </c>
      <c r="I402" s="19">
        <v>44896</v>
      </c>
      <c r="J402" t="s">
        <v>17</v>
      </c>
      <c r="K402">
        <v>2022</v>
      </c>
    </row>
    <row r="403" spans="1:11" x14ac:dyDescent="0.3">
      <c r="A403" t="s">
        <v>11</v>
      </c>
      <c r="B403" t="s">
        <v>10</v>
      </c>
      <c r="C403" t="s">
        <v>13</v>
      </c>
      <c r="D403">
        <v>2649</v>
      </c>
      <c r="E403">
        <v>300</v>
      </c>
      <c r="F403">
        <v>794700</v>
      </c>
      <c r="G403">
        <v>158750</v>
      </c>
      <c r="H403">
        <v>635950</v>
      </c>
      <c r="I403" s="19">
        <v>45261</v>
      </c>
      <c r="J403" t="s">
        <v>17</v>
      </c>
      <c r="K403">
        <v>2023</v>
      </c>
    </row>
    <row r="404" spans="1:11" x14ac:dyDescent="0.3">
      <c r="A404" t="s">
        <v>3</v>
      </c>
      <c r="B404" t="s">
        <v>2</v>
      </c>
      <c r="C404" t="s">
        <v>1</v>
      </c>
      <c r="D404">
        <v>3608</v>
      </c>
      <c r="E404">
        <v>20</v>
      </c>
      <c r="F404">
        <v>72160</v>
      </c>
      <c r="G404">
        <v>4365</v>
      </c>
      <c r="H404">
        <v>67795</v>
      </c>
      <c r="I404" s="19">
        <v>45108</v>
      </c>
      <c r="J404" t="s">
        <v>20</v>
      </c>
      <c r="K404">
        <v>2023</v>
      </c>
    </row>
    <row r="405" spans="1:11" x14ac:dyDescent="0.3">
      <c r="A405" t="s">
        <v>7</v>
      </c>
      <c r="B405" t="s">
        <v>6</v>
      </c>
      <c r="C405" t="s">
        <v>24</v>
      </c>
      <c r="D405">
        <v>1073</v>
      </c>
      <c r="E405">
        <v>300</v>
      </c>
      <c r="F405">
        <v>321900</v>
      </c>
      <c r="G405">
        <v>273500</v>
      </c>
      <c r="H405">
        <v>48400</v>
      </c>
      <c r="I405" s="19">
        <v>45078</v>
      </c>
      <c r="J405" t="s">
        <v>26</v>
      </c>
      <c r="K405">
        <v>2023</v>
      </c>
    </row>
    <row r="406" spans="1:11" x14ac:dyDescent="0.3">
      <c r="A406" t="s">
        <v>11</v>
      </c>
      <c r="B406" t="s">
        <v>10</v>
      </c>
      <c r="C406" t="s">
        <v>24</v>
      </c>
      <c r="D406">
        <v>1754</v>
      </c>
      <c r="E406">
        <v>12</v>
      </c>
      <c r="F406">
        <v>21048</v>
      </c>
      <c r="G406">
        <v>1101</v>
      </c>
      <c r="H406">
        <v>19947</v>
      </c>
      <c r="I406" s="19">
        <v>44835</v>
      </c>
      <c r="J406" t="s">
        <v>12</v>
      </c>
      <c r="K406">
        <v>2022</v>
      </c>
    </row>
    <row r="407" spans="1:11" x14ac:dyDescent="0.3">
      <c r="A407" t="s">
        <v>7</v>
      </c>
      <c r="B407" t="s">
        <v>6</v>
      </c>
      <c r="C407" t="s">
        <v>9</v>
      </c>
      <c r="D407">
        <v>2167</v>
      </c>
      <c r="E407">
        <v>300</v>
      </c>
      <c r="F407">
        <v>650100</v>
      </c>
      <c r="G407">
        <v>950625</v>
      </c>
      <c r="H407">
        <v>-300525</v>
      </c>
      <c r="I407" s="19">
        <v>45017</v>
      </c>
      <c r="J407" t="s">
        <v>4</v>
      </c>
      <c r="K407">
        <v>2023</v>
      </c>
    </row>
    <row r="408" spans="1:11" x14ac:dyDescent="0.3">
      <c r="A408" t="s">
        <v>16</v>
      </c>
      <c r="B408" t="s">
        <v>15</v>
      </c>
      <c r="C408" t="s">
        <v>9</v>
      </c>
      <c r="D408">
        <v>1319</v>
      </c>
      <c r="E408">
        <v>350</v>
      </c>
      <c r="F408">
        <v>461650</v>
      </c>
      <c r="G408">
        <v>433160</v>
      </c>
      <c r="H408">
        <v>28490</v>
      </c>
      <c r="I408" s="19">
        <v>45047</v>
      </c>
      <c r="J408" t="s">
        <v>0</v>
      </c>
      <c r="K408">
        <v>2023</v>
      </c>
    </row>
    <row r="409" spans="1:11" x14ac:dyDescent="0.3">
      <c r="A409" t="s">
        <v>16</v>
      </c>
      <c r="B409" t="s">
        <v>15</v>
      </c>
      <c r="C409" t="s">
        <v>9</v>
      </c>
      <c r="D409">
        <v>1679</v>
      </c>
      <c r="E409">
        <v>300</v>
      </c>
      <c r="F409">
        <v>503700</v>
      </c>
      <c r="G409">
        <v>80500</v>
      </c>
      <c r="H409">
        <v>423200</v>
      </c>
      <c r="I409" s="19">
        <v>44805</v>
      </c>
      <c r="J409" t="s">
        <v>22</v>
      </c>
      <c r="K409">
        <v>2022</v>
      </c>
    </row>
    <row r="410" spans="1:11" x14ac:dyDescent="0.3">
      <c r="A410" t="s">
        <v>7</v>
      </c>
      <c r="B410" t="s">
        <v>6</v>
      </c>
      <c r="C410" t="s">
        <v>9</v>
      </c>
      <c r="D410">
        <v>1252</v>
      </c>
      <c r="E410">
        <v>12</v>
      </c>
      <c r="F410">
        <v>15024</v>
      </c>
      <c r="G410">
        <v>6963</v>
      </c>
      <c r="H410">
        <v>8061</v>
      </c>
      <c r="I410" s="19">
        <v>45231</v>
      </c>
      <c r="J410" t="s">
        <v>18</v>
      </c>
      <c r="K410">
        <v>2023</v>
      </c>
    </row>
    <row r="411" spans="1:11" x14ac:dyDescent="0.3">
      <c r="A411" t="s">
        <v>16</v>
      </c>
      <c r="B411" t="s">
        <v>15</v>
      </c>
      <c r="C411" t="s">
        <v>9</v>
      </c>
      <c r="D411">
        <v>3493</v>
      </c>
      <c r="E411">
        <v>125</v>
      </c>
      <c r="F411">
        <v>436625</v>
      </c>
      <c r="G411">
        <v>222840</v>
      </c>
      <c r="H411">
        <v>213785</v>
      </c>
      <c r="I411" s="19">
        <v>44866</v>
      </c>
      <c r="J411" t="s">
        <v>18</v>
      </c>
      <c r="K411">
        <v>2022</v>
      </c>
    </row>
    <row r="412" spans="1:11" x14ac:dyDescent="0.3">
      <c r="A412" t="s">
        <v>7</v>
      </c>
      <c r="B412" t="s">
        <v>6</v>
      </c>
      <c r="C412" t="s">
        <v>9</v>
      </c>
      <c r="D412">
        <v>1697</v>
      </c>
      <c r="E412">
        <v>7</v>
      </c>
      <c r="F412">
        <v>11879</v>
      </c>
      <c r="G412">
        <v>8055</v>
      </c>
      <c r="H412">
        <v>3824</v>
      </c>
      <c r="I412" s="19">
        <v>44896</v>
      </c>
      <c r="J412" t="s">
        <v>17</v>
      </c>
      <c r="K412">
        <v>2022</v>
      </c>
    </row>
    <row r="413" spans="1:11" x14ac:dyDescent="0.3">
      <c r="A413" t="s">
        <v>3</v>
      </c>
      <c r="B413" t="s">
        <v>2</v>
      </c>
      <c r="C413" t="s">
        <v>9</v>
      </c>
      <c r="D413">
        <v>1156</v>
      </c>
      <c r="E413">
        <v>125</v>
      </c>
      <c r="F413">
        <v>144500</v>
      </c>
      <c r="G413">
        <v>335640</v>
      </c>
      <c r="H413">
        <v>-191140</v>
      </c>
      <c r="I413" s="19">
        <v>45261</v>
      </c>
      <c r="J413" t="s">
        <v>17</v>
      </c>
      <c r="K413">
        <v>2023</v>
      </c>
    </row>
    <row r="414" spans="1:11" x14ac:dyDescent="0.3">
      <c r="A414" t="s">
        <v>19</v>
      </c>
      <c r="B414" t="s">
        <v>6</v>
      </c>
      <c r="C414" t="s">
        <v>9</v>
      </c>
      <c r="D414">
        <v>726</v>
      </c>
      <c r="E414">
        <v>300</v>
      </c>
      <c r="F414">
        <v>217800</v>
      </c>
      <c r="G414">
        <v>83500</v>
      </c>
      <c r="H414">
        <v>134300</v>
      </c>
      <c r="I414" s="19">
        <v>44896</v>
      </c>
      <c r="J414" t="s">
        <v>17</v>
      </c>
      <c r="K414">
        <v>2022</v>
      </c>
    </row>
    <row r="415" spans="1:11" x14ac:dyDescent="0.3">
      <c r="A415" t="s">
        <v>11</v>
      </c>
      <c r="B415" t="s">
        <v>10</v>
      </c>
      <c r="C415" t="s">
        <v>5</v>
      </c>
      <c r="D415">
        <v>1153</v>
      </c>
      <c r="E415">
        <v>300</v>
      </c>
      <c r="F415">
        <v>345900</v>
      </c>
      <c r="G415">
        <v>641250</v>
      </c>
      <c r="H415">
        <v>-295350</v>
      </c>
      <c r="I415" s="19">
        <v>44927</v>
      </c>
      <c r="J415" t="s">
        <v>25</v>
      </c>
      <c r="K415">
        <v>2023</v>
      </c>
    </row>
    <row r="416" spans="1:11" x14ac:dyDescent="0.3">
      <c r="A416" t="s">
        <v>11</v>
      </c>
      <c r="B416" t="s">
        <v>10</v>
      </c>
      <c r="C416" t="s">
        <v>5</v>
      </c>
      <c r="D416">
        <v>2720</v>
      </c>
      <c r="E416">
        <v>350</v>
      </c>
      <c r="F416">
        <v>952000</v>
      </c>
      <c r="G416">
        <v>628420</v>
      </c>
      <c r="H416">
        <v>323580</v>
      </c>
      <c r="I416" s="19">
        <v>44927</v>
      </c>
      <c r="J416" t="s">
        <v>25</v>
      </c>
      <c r="K416">
        <v>2023</v>
      </c>
    </row>
    <row r="417" spans="1:11" x14ac:dyDescent="0.3">
      <c r="A417" t="s">
        <v>3</v>
      </c>
      <c r="B417" t="s">
        <v>2</v>
      </c>
      <c r="C417" t="s">
        <v>5</v>
      </c>
      <c r="D417">
        <v>3658</v>
      </c>
      <c r="E417">
        <v>15</v>
      </c>
      <c r="F417">
        <v>54870</v>
      </c>
      <c r="G417">
        <v>36750</v>
      </c>
      <c r="H417">
        <v>18120</v>
      </c>
      <c r="I417" s="19">
        <v>45017</v>
      </c>
      <c r="J417" t="s">
        <v>4</v>
      </c>
      <c r="K417">
        <v>2023</v>
      </c>
    </row>
    <row r="418" spans="1:11" x14ac:dyDescent="0.3">
      <c r="A418" t="s">
        <v>7</v>
      </c>
      <c r="B418" t="s">
        <v>6</v>
      </c>
      <c r="C418" t="s">
        <v>5</v>
      </c>
      <c r="D418">
        <v>2950</v>
      </c>
      <c r="E418">
        <v>300</v>
      </c>
      <c r="F418">
        <v>885000</v>
      </c>
      <c r="G418">
        <v>273500</v>
      </c>
      <c r="H418">
        <v>611500</v>
      </c>
      <c r="I418" s="19">
        <v>45078</v>
      </c>
      <c r="J418" t="s">
        <v>26</v>
      </c>
      <c r="K418">
        <v>2023</v>
      </c>
    </row>
    <row r="419" spans="1:11" x14ac:dyDescent="0.3">
      <c r="A419" t="s">
        <v>16</v>
      </c>
      <c r="B419" t="s">
        <v>15</v>
      </c>
      <c r="C419" t="s">
        <v>5</v>
      </c>
      <c r="D419">
        <v>1821</v>
      </c>
      <c r="E419">
        <v>15</v>
      </c>
      <c r="F419">
        <v>27315</v>
      </c>
      <c r="G419">
        <v>12270</v>
      </c>
      <c r="H419">
        <v>15045</v>
      </c>
      <c r="I419" s="19">
        <v>45200</v>
      </c>
      <c r="J419" t="s">
        <v>12</v>
      </c>
      <c r="K419">
        <v>2023</v>
      </c>
    </row>
    <row r="420" spans="1:11" x14ac:dyDescent="0.3">
      <c r="A420" t="s">
        <v>11</v>
      </c>
      <c r="B420" t="s">
        <v>10</v>
      </c>
      <c r="C420" t="s">
        <v>5</v>
      </c>
      <c r="D420">
        <v>4174</v>
      </c>
      <c r="E420">
        <v>12</v>
      </c>
      <c r="F420">
        <v>50088</v>
      </c>
      <c r="G420">
        <v>1101</v>
      </c>
      <c r="H420">
        <v>48987</v>
      </c>
      <c r="I420" s="19">
        <v>44835</v>
      </c>
      <c r="J420" t="s">
        <v>12</v>
      </c>
      <c r="K420">
        <v>2022</v>
      </c>
    </row>
    <row r="421" spans="1:11" x14ac:dyDescent="0.3">
      <c r="A421" t="s">
        <v>16</v>
      </c>
      <c r="B421" t="s">
        <v>15</v>
      </c>
      <c r="C421" t="s">
        <v>5</v>
      </c>
      <c r="D421">
        <v>1127</v>
      </c>
      <c r="E421">
        <v>300</v>
      </c>
      <c r="F421">
        <v>338100</v>
      </c>
      <c r="G421">
        <v>331000</v>
      </c>
      <c r="H421">
        <v>7100</v>
      </c>
      <c r="I421" s="19">
        <v>45231</v>
      </c>
      <c r="J421" t="s">
        <v>18</v>
      </c>
      <c r="K421">
        <v>2023</v>
      </c>
    </row>
    <row r="422" spans="1:11" x14ac:dyDescent="0.3">
      <c r="A422" t="s">
        <v>19</v>
      </c>
      <c r="B422" t="s">
        <v>6</v>
      </c>
      <c r="C422" t="s">
        <v>5</v>
      </c>
      <c r="D422">
        <v>2209</v>
      </c>
      <c r="E422">
        <v>12</v>
      </c>
      <c r="F422">
        <v>26508</v>
      </c>
      <c r="G422">
        <v>5325</v>
      </c>
      <c r="H422">
        <v>21183</v>
      </c>
      <c r="I422" s="19">
        <v>44866</v>
      </c>
      <c r="J422" t="s">
        <v>18</v>
      </c>
      <c r="K422">
        <v>2022</v>
      </c>
    </row>
    <row r="423" spans="1:11" x14ac:dyDescent="0.3">
      <c r="A423" t="s">
        <v>3</v>
      </c>
      <c r="B423" t="s">
        <v>2</v>
      </c>
      <c r="C423" t="s">
        <v>5</v>
      </c>
      <c r="D423">
        <v>862</v>
      </c>
      <c r="E423">
        <v>125</v>
      </c>
      <c r="F423">
        <v>107750</v>
      </c>
      <c r="G423">
        <v>335640</v>
      </c>
      <c r="H423">
        <v>-227890</v>
      </c>
      <c r="I423" s="19">
        <v>45261</v>
      </c>
      <c r="J423" t="s">
        <v>17</v>
      </c>
      <c r="K423">
        <v>2023</v>
      </c>
    </row>
    <row r="424" spans="1:11" x14ac:dyDescent="0.3">
      <c r="A424" t="s">
        <v>11</v>
      </c>
      <c r="B424" t="s">
        <v>10</v>
      </c>
      <c r="C424" t="s">
        <v>21</v>
      </c>
      <c r="D424">
        <v>3805</v>
      </c>
      <c r="E424">
        <v>15</v>
      </c>
      <c r="F424">
        <v>57075</v>
      </c>
      <c r="G424">
        <v>2450</v>
      </c>
      <c r="H424">
        <v>54625</v>
      </c>
      <c r="I424" s="19">
        <v>45047</v>
      </c>
      <c r="J424" t="s">
        <v>0</v>
      </c>
      <c r="K424">
        <v>2023</v>
      </c>
    </row>
    <row r="425" spans="1:11" x14ac:dyDescent="0.3">
      <c r="A425" t="s">
        <v>7</v>
      </c>
      <c r="B425" t="s">
        <v>6</v>
      </c>
      <c r="C425" t="s">
        <v>21</v>
      </c>
      <c r="D425">
        <v>1415</v>
      </c>
      <c r="E425">
        <v>300</v>
      </c>
      <c r="F425">
        <v>424500</v>
      </c>
      <c r="G425">
        <v>948375</v>
      </c>
      <c r="H425">
        <v>-523875</v>
      </c>
      <c r="I425" s="19">
        <v>45108</v>
      </c>
      <c r="J425" t="s">
        <v>20</v>
      </c>
      <c r="K425">
        <v>2023</v>
      </c>
    </row>
    <row r="426" spans="1:11" x14ac:dyDescent="0.3">
      <c r="A426" t="s">
        <v>19</v>
      </c>
      <c r="B426" t="s">
        <v>6</v>
      </c>
      <c r="C426" t="s">
        <v>21</v>
      </c>
      <c r="D426">
        <v>2231</v>
      </c>
      <c r="E426">
        <v>350</v>
      </c>
      <c r="F426">
        <v>780850</v>
      </c>
      <c r="G426">
        <v>339820</v>
      </c>
      <c r="H426">
        <v>441030</v>
      </c>
      <c r="I426" s="19">
        <v>45108</v>
      </c>
      <c r="J426" t="s">
        <v>20</v>
      </c>
      <c r="K426">
        <v>2023</v>
      </c>
    </row>
    <row r="427" spans="1:11" x14ac:dyDescent="0.3">
      <c r="A427" t="s">
        <v>7</v>
      </c>
      <c r="B427" t="s">
        <v>6</v>
      </c>
      <c r="C427" t="s">
        <v>21</v>
      </c>
      <c r="D427">
        <v>3649</v>
      </c>
      <c r="E427">
        <v>125</v>
      </c>
      <c r="F427">
        <v>456125</v>
      </c>
      <c r="G427">
        <v>68040</v>
      </c>
      <c r="H427">
        <v>388085</v>
      </c>
      <c r="I427" s="19">
        <v>45170</v>
      </c>
      <c r="J427" t="s">
        <v>22</v>
      </c>
      <c r="K427">
        <v>2023</v>
      </c>
    </row>
    <row r="428" spans="1:11" x14ac:dyDescent="0.3">
      <c r="A428" t="s">
        <v>11</v>
      </c>
      <c r="B428" t="s">
        <v>10</v>
      </c>
      <c r="C428" t="s">
        <v>21</v>
      </c>
      <c r="D428">
        <v>2948</v>
      </c>
      <c r="E428">
        <v>125</v>
      </c>
      <c r="F428">
        <v>368500</v>
      </c>
      <c r="G428">
        <v>253200</v>
      </c>
      <c r="H428">
        <v>115300</v>
      </c>
      <c r="I428" s="19">
        <v>45170</v>
      </c>
      <c r="J428" t="s">
        <v>22</v>
      </c>
      <c r="K428">
        <v>2023</v>
      </c>
    </row>
    <row r="429" spans="1:11" x14ac:dyDescent="0.3">
      <c r="A429" t="s">
        <v>7</v>
      </c>
      <c r="B429" t="s">
        <v>6</v>
      </c>
      <c r="C429" t="s">
        <v>21</v>
      </c>
      <c r="D429">
        <v>3395</v>
      </c>
      <c r="E429">
        <v>350</v>
      </c>
      <c r="F429">
        <v>1188250</v>
      </c>
      <c r="G429">
        <v>329940</v>
      </c>
      <c r="H429">
        <v>858310</v>
      </c>
      <c r="I429" s="19">
        <v>45200</v>
      </c>
      <c r="J429" t="s">
        <v>12</v>
      </c>
      <c r="K429">
        <v>2023</v>
      </c>
    </row>
    <row r="430" spans="1:11" x14ac:dyDescent="0.3">
      <c r="A430" t="s">
        <v>3</v>
      </c>
      <c r="B430" t="s">
        <v>2</v>
      </c>
      <c r="C430" t="s">
        <v>1</v>
      </c>
      <c r="D430">
        <v>2650</v>
      </c>
      <c r="E430">
        <v>12</v>
      </c>
      <c r="F430">
        <v>31800</v>
      </c>
      <c r="G430">
        <v>5868</v>
      </c>
      <c r="H430">
        <v>25932</v>
      </c>
      <c r="I430" s="19">
        <v>44927</v>
      </c>
      <c r="J430" t="s">
        <v>25</v>
      </c>
      <c r="K430">
        <v>2023</v>
      </c>
    </row>
    <row r="431" spans="1:11" x14ac:dyDescent="0.3">
      <c r="A431" t="s">
        <v>19</v>
      </c>
      <c r="B431" t="s">
        <v>6</v>
      </c>
      <c r="C431" t="s">
        <v>1</v>
      </c>
      <c r="D431">
        <v>585</v>
      </c>
      <c r="E431">
        <v>300</v>
      </c>
      <c r="F431">
        <v>175500</v>
      </c>
      <c r="G431">
        <v>664750</v>
      </c>
      <c r="H431">
        <v>-489250</v>
      </c>
      <c r="I431" s="19">
        <v>44958</v>
      </c>
      <c r="J431" t="s">
        <v>8</v>
      </c>
      <c r="K431">
        <v>2023</v>
      </c>
    </row>
    <row r="432" spans="1:11" x14ac:dyDescent="0.3">
      <c r="A432" t="s">
        <v>3</v>
      </c>
      <c r="B432" t="s">
        <v>2</v>
      </c>
      <c r="C432" t="s">
        <v>1</v>
      </c>
      <c r="D432">
        <v>1316</v>
      </c>
      <c r="E432">
        <v>350</v>
      </c>
      <c r="F432">
        <v>460600</v>
      </c>
      <c r="G432">
        <v>351390</v>
      </c>
      <c r="H432">
        <v>109210</v>
      </c>
      <c r="I432" s="19">
        <v>45017</v>
      </c>
      <c r="J432" t="s">
        <v>4</v>
      </c>
      <c r="K432">
        <v>2023</v>
      </c>
    </row>
    <row r="433" spans="1:11" x14ac:dyDescent="0.3">
      <c r="A433" t="s">
        <v>19</v>
      </c>
      <c r="B433" t="s">
        <v>6</v>
      </c>
      <c r="C433" t="s">
        <v>1</v>
      </c>
      <c r="D433">
        <v>4459</v>
      </c>
      <c r="E433">
        <v>12</v>
      </c>
      <c r="F433">
        <v>53508</v>
      </c>
      <c r="G433">
        <v>2640</v>
      </c>
      <c r="H433">
        <v>50868</v>
      </c>
      <c r="I433" s="19">
        <v>45047</v>
      </c>
      <c r="J433" t="s">
        <v>0</v>
      </c>
      <c r="K433">
        <v>2023</v>
      </c>
    </row>
    <row r="434" spans="1:11" x14ac:dyDescent="0.3">
      <c r="A434" t="s">
        <v>3</v>
      </c>
      <c r="B434" t="s">
        <v>2</v>
      </c>
      <c r="C434" t="s">
        <v>1</v>
      </c>
      <c r="D434">
        <v>2711</v>
      </c>
      <c r="E434">
        <v>300</v>
      </c>
      <c r="F434">
        <v>813300</v>
      </c>
      <c r="G434">
        <v>466750</v>
      </c>
      <c r="H434">
        <v>346550</v>
      </c>
      <c r="I434" s="19">
        <v>45170</v>
      </c>
      <c r="J434" t="s">
        <v>22</v>
      </c>
      <c r="K434">
        <v>2023</v>
      </c>
    </row>
    <row r="435" spans="1:11" x14ac:dyDescent="0.3">
      <c r="A435" t="s">
        <v>16</v>
      </c>
      <c r="B435" t="s">
        <v>15</v>
      </c>
      <c r="C435" t="s">
        <v>1</v>
      </c>
      <c r="D435">
        <v>2621</v>
      </c>
      <c r="E435">
        <v>12</v>
      </c>
      <c r="F435">
        <v>31452</v>
      </c>
      <c r="G435">
        <v>6702</v>
      </c>
      <c r="H435">
        <v>24750</v>
      </c>
      <c r="I435" s="19">
        <v>44805</v>
      </c>
      <c r="J435" t="s">
        <v>22</v>
      </c>
      <c r="K435">
        <v>2022</v>
      </c>
    </row>
    <row r="436" spans="1:11" x14ac:dyDescent="0.3">
      <c r="A436" t="s">
        <v>16</v>
      </c>
      <c r="B436" t="s">
        <v>15</v>
      </c>
      <c r="C436" t="s">
        <v>1</v>
      </c>
      <c r="D436">
        <v>3613</v>
      </c>
      <c r="E436">
        <v>15</v>
      </c>
      <c r="F436">
        <v>54195</v>
      </c>
      <c r="G436">
        <v>12270</v>
      </c>
      <c r="H436">
        <v>41925</v>
      </c>
      <c r="I436" s="19">
        <v>45200</v>
      </c>
      <c r="J436" t="s">
        <v>12</v>
      </c>
      <c r="K436">
        <v>2023</v>
      </c>
    </row>
    <row r="437" spans="1:11" x14ac:dyDescent="0.3">
      <c r="A437" t="s">
        <v>11</v>
      </c>
      <c r="B437" t="s">
        <v>10</v>
      </c>
      <c r="C437" t="s">
        <v>1</v>
      </c>
      <c r="D437">
        <v>1847</v>
      </c>
      <c r="E437">
        <v>125</v>
      </c>
      <c r="F437">
        <v>230875</v>
      </c>
      <c r="G437">
        <v>105240</v>
      </c>
      <c r="H437">
        <v>125635</v>
      </c>
      <c r="I437" s="19">
        <v>45231</v>
      </c>
      <c r="J437" t="s">
        <v>18</v>
      </c>
      <c r="K437">
        <v>2023</v>
      </c>
    </row>
    <row r="438" spans="1:11" x14ac:dyDescent="0.3">
      <c r="A438" t="s">
        <v>3</v>
      </c>
      <c r="B438" t="s">
        <v>2</v>
      </c>
      <c r="C438" t="s">
        <v>13</v>
      </c>
      <c r="D438">
        <v>2996</v>
      </c>
      <c r="E438">
        <v>350</v>
      </c>
      <c r="F438">
        <v>1048600</v>
      </c>
      <c r="G438">
        <v>538460</v>
      </c>
      <c r="H438">
        <v>510140</v>
      </c>
      <c r="I438" s="19">
        <v>45170</v>
      </c>
      <c r="J438" t="s">
        <v>22</v>
      </c>
      <c r="K438">
        <v>2023</v>
      </c>
    </row>
    <row r="439" spans="1:11" x14ac:dyDescent="0.3">
      <c r="A439" t="s">
        <v>7</v>
      </c>
      <c r="B439" t="s">
        <v>6</v>
      </c>
      <c r="C439" t="s">
        <v>13</v>
      </c>
      <c r="D439">
        <v>2838</v>
      </c>
      <c r="E439">
        <v>350</v>
      </c>
      <c r="F439">
        <v>993300</v>
      </c>
      <c r="G439">
        <v>329940</v>
      </c>
      <c r="H439">
        <v>663360</v>
      </c>
      <c r="I439" s="19">
        <v>45200</v>
      </c>
      <c r="J439" t="s">
        <v>12</v>
      </c>
      <c r="K439">
        <v>2023</v>
      </c>
    </row>
    <row r="440" spans="1:11" x14ac:dyDescent="0.3">
      <c r="A440" t="s">
        <v>19</v>
      </c>
      <c r="B440" t="s">
        <v>6</v>
      </c>
      <c r="C440" t="s">
        <v>13</v>
      </c>
      <c r="D440">
        <v>1302</v>
      </c>
      <c r="E440">
        <v>15</v>
      </c>
      <c r="F440">
        <v>19530</v>
      </c>
      <c r="G440">
        <v>9700</v>
      </c>
      <c r="H440">
        <v>9830</v>
      </c>
      <c r="I440" s="19">
        <v>44866</v>
      </c>
      <c r="J440" t="s">
        <v>18</v>
      </c>
      <c r="K440">
        <v>2022</v>
      </c>
    </row>
    <row r="441" spans="1:11" x14ac:dyDescent="0.3">
      <c r="A441" t="s">
        <v>11</v>
      </c>
      <c r="B441" t="s">
        <v>10</v>
      </c>
      <c r="C441" t="s">
        <v>13</v>
      </c>
      <c r="D441">
        <v>1536</v>
      </c>
      <c r="E441">
        <v>20</v>
      </c>
      <c r="F441">
        <v>30720</v>
      </c>
      <c r="G441">
        <v>16940</v>
      </c>
      <c r="H441">
        <v>13780</v>
      </c>
      <c r="I441" s="19">
        <v>45231</v>
      </c>
      <c r="J441" t="s">
        <v>18</v>
      </c>
      <c r="K441">
        <v>2023</v>
      </c>
    </row>
    <row r="442" spans="1:11" x14ac:dyDescent="0.3">
      <c r="A442" t="s">
        <v>19</v>
      </c>
      <c r="B442" t="s">
        <v>6</v>
      </c>
      <c r="C442" t="s">
        <v>24</v>
      </c>
      <c r="D442">
        <v>1291</v>
      </c>
      <c r="E442">
        <v>20</v>
      </c>
      <c r="F442">
        <v>25820</v>
      </c>
      <c r="G442">
        <v>6630</v>
      </c>
      <c r="H442">
        <v>19190</v>
      </c>
      <c r="I442" s="19">
        <v>45047</v>
      </c>
      <c r="J442" t="s">
        <v>0</v>
      </c>
      <c r="K442">
        <v>2023</v>
      </c>
    </row>
    <row r="443" spans="1:11" x14ac:dyDescent="0.3">
      <c r="A443" t="s">
        <v>7</v>
      </c>
      <c r="B443" t="s">
        <v>6</v>
      </c>
      <c r="C443" t="s">
        <v>24</v>
      </c>
      <c r="D443">
        <v>1213</v>
      </c>
      <c r="E443">
        <v>7</v>
      </c>
      <c r="F443">
        <v>8491</v>
      </c>
      <c r="G443">
        <v>4095</v>
      </c>
      <c r="H443">
        <v>4396</v>
      </c>
      <c r="I443" s="19">
        <v>45108</v>
      </c>
      <c r="J443" t="s">
        <v>20</v>
      </c>
      <c r="K443">
        <v>2023</v>
      </c>
    </row>
    <row r="444" spans="1:11" x14ac:dyDescent="0.3">
      <c r="A444" t="s">
        <v>19</v>
      </c>
      <c r="B444" t="s">
        <v>6</v>
      </c>
      <c r="C444" t="s">
        <v>24</v>
      </c>
      <c r="D444">
        <v>2370</v>
      </c>
      <c r="E444">
        <v>12</v>
      </c>
      <c r="F444">
        <v>28440</v>
      </c>
      <c r="G444">
        <v>4740</v>
      </c>
      <c r="H444">
        <v>23700</v>
      </c>
      <c r="I444" s="19">
        <v>45170</v>
      </c>
      <c r="J444" t="s">
        <v>22</v>
      </c>
      <c r="K444">
        <v>2023</v>
      </c>
    </row>
    <row r="445" spans="1:11" x14ac:dyDescent="0.3">
      <c r="A445" t="s">
        <v>11</v>
      </c>
      <c r="B445" t="s">
        <v>10</v>
      </c>
      <c r="C445" t="s">
        <v>24</v>
      </c>
      <c r="D445">
        <v>1979</v>
      </c>
      <c r="E445">
        <v>7</v>
      </c>
      <c r="F445">
        <v>13853</v>
      </c>
      <c r="G445">
        <v>2605</v>
      </c>
      <c r="H445">
        <v>11248</v>
      </c>
      <c r="I445" s="19">
        <v>45261</v>
      </c>
      <c r="J445" t="s">
        <v>17</v>
      </c>
      <c r="K445">
        <v>2023</v>
      </c>
    </row>
    <row r="446" spans="1:11" x14ac:dyDescent="0.3">
      <c r="A446" t="s">
        <v>3</v>
      </c>
      <c r="B446" t="s">
        <v>2</v>
      </c>
      <c r="C446" t="s">
        <v>5</v>
      </c>
      <c r="D446">
        <v>2879</v>
      </c>
      <c r="E446">
        <v>20</v>
      </c>
      <c r="F446">
        <v>57580</v>
      </c>
      <c r="G446">
        <v>9730</v>
      </c>
      <c r="H446">
        <v>47850</v>
      </c>
      <c r="I446" s="19">
        <v>44986</v>
      </c>
      <c r="J446" t="s">
        <v>14</v>
      </c>
      <c r="K446">
        <v>2023</v>
      </c>
    </row>
    <row r="447" spans="1:11" x14ac:dyDescent="0.3">
      <c r="A447" t="s">
        <v>11</v>
      </c>
      <c r="B447" t="s">
        <v>10</v>
      </c>
      <c r="C447" t="s">
        <v>5</v>
      </c>
      <c r="D447">
        <v>1707</v>
      </c>
      <c r="E447">
        <v>20</v>
      </c>
      <c r="F447">
        <v>34140</v>
      </c>
      <c r="G447">
        <v>10380</v>
      </c>
      <c r="H447">
        <v>23760</v>
      </c>
      <c r="I447" s="19">
        <v>45078</v>
      </c>
      <c r="J447" t="s">
        <v>26</v>
      </c>
      <c r="K447">
        <v>2023</v>
      </c>
    </row>
    <row r="448" spans="1:11" x14ac:dyDescent="0.3">
      <c r="A448" t="s">
        <v>19</v>
      </c>
      <c r="B448" t="s">
        <v>6</v>
      </c>
      <c r="C448" t="s">
        <v>5</v>
      </c>
      <c r="D448">
        <v>2933</v>
      </c>
      <c r="E448">
        <v>7</v>
      </c>
      <c r="F448">
        <v>20531</v>
      </c>
      <c r="G448">
        <v>1800</v>
      </c>
      <c r="H448">
        <v>18731</v>
      </c>
      <c r="I448" s="19">
        <v>45200</v>
      </c>
      <c r="J448" t="s">
        <v>12</v>
      </c>
      <c r="K448">
        <v>2023</v>
      </c>
    </row>
    <row r="449" spans="1:11" x14ac:dyDescent="0.3">
      <c r="A449" t="s">
        <v>16</v>
      </c>
      <c r="B449" t="s">
        <v>15</v>
      </c>
      <c r="C449" t="s">
        <v>21</v>
      </c>
      <c r="D449">
        <v>1014</v>
      </c>
      <c r="E449">
        <v>12</v>
      </c>
      <c r="F449">
        <v>12168</v>
      </c>
      <c r="G449">
        <v>5901</v>
      </c>
      <c r="H449">
        <v>6267</v>
      </c>
      <c r="I449" s="19">
        <v>44986</v>
      </c>
      <c r="J449" t="s">
        <v>14</v>
      </c>
      <c r="K449">
        <v>2023</v>
      </c>
    </row>
    <row r="450" spans="1:11" x14ac:dyDescent="0.3">
      <c r="A450" t="s">
        <v>11</v>
      </c>
      <c r="B450" t="s">
        <v>10</v>
      </c>
      <c r="C450" t="s">
        <v>21</v>
      </c>
      <c r="D450">
        <v>693</v>
      </c>
      <c r="E450">
        <v>15</v>
      </c>
      <c r="F450">
        <v>10395</v>
      </c>
      <c r="G450">
        <v>26280</v>
      </c>
      <c r="H450">
        <v>-15885</v>
      </c>
      <c r="I450" s="19">
        <v>45017</v>
      </c>
      <c r="J450" t="s">
        <v>4</v>
      </c>
      <c r="K450">
        <v>2023</v>
      </c>
    </row>
    <row r="451" spans="1:11" x14ac:dyDescent="0.3">
      <c r="A451" t="s">
        <v>19</v>
      </c>
      <c r="B451" t="s">
        <v>6</v>
      </c>
      <c r="C451" t="s">
        <v>1</v>
      </c>
      <c r="D451">
        <v>3741</v>
      </c>
      <c r="E451">
        <v>7</v>
      </c>
      <c r="F451">
        <v>26187</v>
      </c>
      <c r="G451">
        <v>1800</v>
      </c>
      <c r="H451">
        <v>24387</v>
      </c>
      <c r="I451" s="19">
        <v>45200</v>
      </c>
      <c r="J451" t="s">
        <v>12</v>
      </c>
      <c r="K451">
        <v>2023</v>
      </c>
    </row>
    <row r="452" spans="1:11" x14ac:dyDescent="0.3">
      <c r="A452" t="s">
        <v>16</v>
      </c>
      <c r="B452" t="s">
        <v>15</v>
      </c>
      <c r="C452" t="s">
        <v>1</v>
      </c>
      <c r="D452">
        <v>3116</v>
      </c>
      <c r="E452">
        <v>20</v>
      </c>
      <c r="F452">
        <v>62320</v>
      </c>
      <c r="G452">
        <v>26820</v>
      </c>
      <c r="H452">
        <v>35500</v>
      </c>
      <c r="I452" s="19">
        <v>44866</v>
      </c>
      <c r="J452" t="s">
        <v>18</v>
      </c>
      <c r="K452">
        <v>2022</v>
      </c>
    </row>
    <row r="453" spans="1:11" x14ac:dyDescent="0.3">
      <c r="A453" t="s">
        <v>11</v>
      </c>
      <c r="B453" t="s">
        <v>10</v>
      </c>
      <c r="C453" t="s">
        <v>1</v>
      </c>
      <c r="D453">
        <v>3995</v>
      </c>
      <c r="E453">
        <v>7</v>
      </c>
      <c r="F453">
        <v>27965</v>
      </c>
      <c r="G453">
        <v>2605</v>
      </c>
      <c r="H453">
        <v>25360</v>
      </c>
      <c r="I453" s="19">
        <v>45261</v>
      </c>
      <c r="J453" t="s">
        <v>17</v>
      </c>
      <c r="K453">
        <v>2023</v>
      </c>
    </row>
    <row r="454" spans="1:11" x14ac:dyDescent="0.3">
      <c r="A454" t="s">
        <v>11</v>
      </c>
      <c r="B454" t="s">
        <v>10</v>
      </c>
      <c r="C454" t="s">
        <v>13</v>
      </c>
      <c r="D454">
        <v>953</v>
      </c>
      <c r="E454">
        <v>20</v>
      </c>
      <c r="F454">
        <v>19060</v>
      </c>
      <c r="G454">
        <v>10380</v>
      </c>
      <c r="H454">
        <v>8680</v>
      </c>
      <c r="I454" s="19">
        <v>45078</v>
      </c>
      <c r="J454" t="s">
        <v>26</v>
      </c>
      <c r="K454">
        <v>2023</v>
      </c>
    </row>
    <row r="455" spans="1:11" x14ac:dyDescent="0.3">
      <c r="A455" t="s">
        <v>7</v>
      </c>
      <c r="B455" t="s">
        <v>6</v>
      </c>
      <c r="C455" t="s">
        <v>13</v>
      </c>
      <c r="D455">
        <v>2530</v>
      </c>
      <c r="E455">
        <v>15</v>
      </c>
      <c r="F455">
        <v>37950</v>
      </c>
      <c r="G455">
        <v>16305</v>
      </c>
      <c r="H455">
        <v>21645</v>
      </c>
      <c r="I455" s="19">
        <v>45108</v>
      </c>
      <c r="J455" t="s">
        <v>20</v>
      </c>
      <c r="K455">
        <v>2023</v>
      </c>
    </row>
    <row r="456" spans="1:11" x14ac:dyDescent="0.3">
      <c r="A456" t="s">
        <v>16</v>
      </c>
      <c r="B456" t="s">
        <v>15</v>
      </c>
      <c r="C456" t="s">
        <v>13</v>
      </c>
      <c r="D456">
        <v>2565</v>
      </c>
      <c r="E456">
        <v>12</v>
      </c>
      <c r="F456">
        <v>30780</v>
      </c>
      <c r="G456">
        <v>918</v>
      </c>
      <c r="H456">
        <v>29862</v>
      </c>
      <c r="I456" s="19">
        <v>44896</v>
      </c>
      <c r="J456" t="s">
        <v>17</v>
      </c>
      <c r="K456">
        <v>2022</v>
      </c>
    </row>
    <row r="457" spans="1:11" x14ac:dyDescent="0.3">
      <c r="A457" t="s">
        <v>3</v>
      </c>
      <c r="B457" t="s">
        <v>2</v>
      </c>
      <c r="C457" t="s">
        <v>24</v>
      </c>
      <c r="D457">
        <v>4297</v>
      </c>
      <c r="E457">
        <v>12</v>
      </c>
      <c r="F457">
        <v>51564</v>
      </c>
      <c r="G457">
        <v>1158</v>
      </c>
      <c r="H457">
        <v>50406</v>
      </c>
      <c r="I457" s="19">
        <v>44835</v>
      </c>
      <c r="J457" t="s">
        <v>12</v>
      </c>
      <c r="K457">
        <v>2022</v>
      </c>
    </row>
    <row r="458" spans="1:11" x14ac:dyDescent="0.3">
      <c r="A458" t="s">
        <v>3</v>
      </c>
      <c r="B458" t="s">
        <v>2</v>
      </c>
      <c r="C458" t="s">
        <v>9</v>
      </c>
      <c r="D458">
        <v>2871</v>
      </c>
      <c r="E458">
        <v>7</v>
      </c>
      <c r="F458">
        <v>20097</v>
      </c>
      <c r="G458">
        <v>11640</v>
      </c>
      <c r="H458">
        <v>8457</v>
      </c>
      <c r="I458" s="19">
        <v>45170</v>
      </c>
      <c r="J458" t="s">
        <v>22</v>
      </c>
      <c r="K458">
        <v>2023</v>
      </c>
    </row>
    <row r="459" spans="1:11" x14ac:dyDescent="0.3">
      <c r="A459" t="s">
        <v>3</v>
      </c>
      <c r="B459" t="s">
        <v>2</v>
      </c>
      <c r="C459" t="s">
        <v>5</v>
      </c>
      <c r="D459">
        <v>3537</v>
      </c>
      <c r="E459">
        <v>12</v>
      </c>
      <c r="F459">
        <v>42444</v>
      </c>
      <c r="G459">
        <v>1158</v>
      </c>
      <c r="H459">
        <v>41286</v>
      </c>
      <c r="I459" s="19">
        <v>44835</v>
      </c>
      <c r="J459" t="s">
        <v>12</v>
      </c>
      <c r="K459">
        <v>2022</v>
      </c>
    </row>
    <row r="460" spans="1:11" x14ac:dyDescent="0.3">
      <c r="A460" t="s">
        <v>3</v>
      </c>
      <c r="B460" t="s">
        <v>2</v>
      </c>
      <c r="C460" t="s">
        <v>24</v>
      </c>
      <c r="D460">
        <v>1598</v>
      </c>
      <c r="E460">
        <v>125</v>
      </c>
      <c r="F460">
        <v>199750</v>
      </c>
      <c r="G460">
        <v>413460</v>
      </c>
      <c r="H460">
        <v>-213710</v>
      </c>
      <c r="I460" s="19">
        <v>45017</v>
      </c>
      <c r="J460" t="s">
        <v>4</v>
      </c>
      <c r="K460">
        <v>2023</v>
      </c>
    </row>
    <row r="461" spans="1:11" x14ac:dyDescent="0.3">
      <c r="A461" t="s">
        <v>16</v>
      </c>
      <c r="B461" t="s">
        <v>15</v>
      </c>
      <c r="C461" t="s">
        <v>24</v>
      </c>
      <c r="D461">
        <v>2616</v>
      </c>
      <c r="E461">
        <v>125</v>
      </c>
      <c r="F461">
        <v>327000</v>
      </c>
      <c r="G461">
        <v>177840</v>
      </c>
      <c r="H461">
        <v>149160</v>
      </c>
      <c r="I461" s="19">
        <v>44896</v>
      </c>
      <c r="J461" t="s">
        <v>17</v>
      </c>
      <c r="K461">
        <v>2022</v>
      </c>
    </row>
    <row r="462" spans="1:11" x14ac:dyDescent="0.3">
      <c r="A462" t="s">
        <v>3</v>
      </c>
      <c r="B462" t="s">
        <v>2</v>
      </c>
      <c r="C462" t="s">
        <v>9</v>
      </c>
      <c r="D462">
        <v>2836</v>
      </c>
      <c r="E462">
        <v>350</v>
      </c>
      <c r="F462">
        <v>992600</v>
      </c>
      <c r="G462">
        <v>601380</v>
      </c>
      <c r="H462">
        <v>391220</v>
      </c>
      <c r="I462" s="19">
        <v>45047</v>
      </c>
      <c r="J462" t="s">
        <v>0</v>
      </c>
      <c r="K462">
        <v>2023</v>
      </c>
    </row>
    <row r="463" spans="1:11" x14ac:dyDescent="0.3">
      <c r="A463" t="s">
        <v>3</v>
      </c>
      <c r="B463" t="s">
        <v>2</v>
      </c>
      <c r="C463" t="s">
        <v>9</v>
      </c>
      <c r="D463">
        <v>4023</v>
      </c>
      <c r="E463">
        <v>125</v>
      </c>
      <c r="F463">
        <v>502875</v>
      </c>
      <c r="G463">
        <v>216480</v>
      </c>
      <c r="H463">
        <v>286395</v>
      </c>
      <c r="I463" s="19">
        <v>44866</v>
      </c>
      <c r="J463" t="s">
        <v>18</v>
      </c>
      <c r="K463">
        <v>2022</v>
      </c>
    </row>
    <row r="464" spans="1:11" x14ac:dyDescent="0.3">
      <c r="A464" t="s">
        <v>16</v>
      </c>
      <c r="B464" t="s">
        <v>15</v>
      </c>
      <c r="C464" t="s">
        <v>9</v>
      </c>
      <c r="D464">
        <v>3994</v>
      </c>
      <c r="E464">
        <v>15</v>
      </c>
      <c r="F464">
        <v>59910</v>
      </c>
      <c r="G464">
        <v>20720</v>
      </c>
      <c r="H464">
        <v>39190</v>
      </c>
      <c r="I464" s="19">
        <v>45261</v>
      </c>
      <c r="J464" t="s">
        <v>17</v>
      </c>
      <c r="K464">
        <v>2023</v>
      </c>
    </row>
    <row r="465" spans="1:11" x14ac:dyDescent="0.3">
      <c r="A465" t="s">
        <v>16</v>
      </c>
      <c r="B465" t="s">
        <v>15</v>
      </c>
      <c r="C465" t="s">
        <v>5</v>
      </c>
      <c r="D465">
        <v>2928</v>
      </c>
      <c r="E465">
        <v>20</v>
      </c>
      <c r="F465">
        <v>58560</v>
      </c>
      <c r="G465">
        <v>19540</v>
      </c>
      <c r="H465">
        <v>39020</v>
      </c>
      <c r="I465" s="19">
        <v>44986</v>
      </c>
      <c r="J465" t="s">
        <v>14</v>
      </c>
      <c r="K465">
        <v>2023</v>
      </c>
    </row>
    <row r="466" spans="1:11" x14ac:dyDescent="0.3">
      <c r="A466" t="s">
        <v>11</v>
      </c>
      <c r="B466" t="s">
        <v>10</v>
      </c>
      <c r="C466" t="s">
        <v>5</v>
      </c>
      <c r="D466">
        <v>2912</v>
      </c>
      <c r="E466">
        <v>300</v>
      </c>
      <c r="F466">
        <v>873600</v>
      </c>
      <c r="G466">
        <v>147750</v>
      </c>
      <c r="H466">
        <v>725850</v>
      </c>
      <c r="I466" s="19">
        <v>45047</v>
      </c>
      <c r="J466" t="s">
        <v>0</v>
      </c>
      <c r="K466">
        <v>2023</v>
      </c>
    </row>
    <row r="467" spans="1:11" x14ac:dyDescent="0.3">
      <c r="A467" t="s">
        <v>16</v>
      </c>
      <c r="B467" t="s">
        <v>15</v>
      </c>
      <c r="C467" t="s">
        <v>5</v>
      </c>
      <c r="D467">
        <v>3671</v>
      </c>
      <c r="E467">
        <v>15</v>
      </c>
      <c r="F467">
        <v>55065</v>
      </c>
      <c r="G467">
        <v>21670</v>
      </c>
      <c r="H467">
        <v>33395</v>
      </c>
      <c r="I467" s="19">
        <v>44835</v>
      </c>
      <c r="J467" t="s">
        <v>12</v>
      </c>
      <c r="K467">
        <v>2022</v>
      </c>
    </row>
    <row r="468" spans="1:11" x14ac:dyDescent="0.3">
      <c r="A468" t="s">
        <v>19</v>
      </c>
      <c r="B468" t="s">
        <v>6</v>
      </c>
      <c r="C468" t="s">
        <v>5</v>
      </c>
      <c r="D468">
        <v>2778</v>
      </c>
      <c r="E468">
        <v>20</v>
      </c>
      <c r="F468">
        <v>55560</v>
      </c>
      <c r="G468">
        <v>2410</v>
      </c>
      <c r="H468">
        <v>53150</v>
      </c>
      <c r="I468" s="19">
        <v>45200</v>
      </c>
      <c r="J468" t="s">
        <v>12</v>
      </c>
      <c r="K468">
        <v>2023</v>
      </c>
    </row>
    <row r="469" spans="1:11" x14ac:dyDescent="0.3">
      <c r="A469" t="s">
        <v>19</v>
      </c>
      <c r="B469" t="s">
        <v>6</v>
      </c>
      <c r="C469" t="s">
        <v>21</v>
      </c>
      <c r="D469">
        <v>405</v>
      </c>
      <c r="E469">
        <v>15</v>
      </c>
      <c r="F469">
        <v>6075</v>
      </c>
      <c r="G469">
        <v>6810</v>
      </c>
      <c r="H469">
        <v>-735</v>
      </c>
      <c r="I469" s="19">
        <v>44927</v>
      </c>
      <c r="J469" t="s">
        <v>25</v>
      </c>
      <c r="K469">
        <v>2023</v>
      </c>
    </row>
    <row r="470" spans="1:11" x14ac:dyDescent="0.3">
      <c r="A470" t="s">
        <v>19</v>
      </c>
      <c r="B470" t="s">
        <v>6</v>
      </c>
      <c r="C470" t="s">
        <v>21</v>
      </c>
      <c r="D470">
        <v>2013</v>
      </c>
      <c r="E470">
        <v>15</v>
      </c>
      <c r="F470">
        <v>30195</v>
      </c>
      <c r="G470">
        <v>5100</v>
      </c>
      <c r="H470">
        <v>25095</v>
      </c>
      <c r="I470" s="19">
        <v>45017</v>
      </c>
      <c r="J470" t="s">
        <v>4</v>
      </c>
      <c r="K470">
        <v>2023</v>
      </c>
    </row>
    <row r="471" spans="1:11" x14ac:dyDescent="0.3">
      <c r="A471" t="s">
        <v>3</v>
      </c>
      <c r="B471" t="s">
        <v>2</v>
      </c>
      <c r="C471" t="s">
        <v>21</v>
      </c>
      <c r="D471">
        <v>2634</v>
      </c>
      <c r="E471">
        <v>15</v>
      </c>
      <c r="F471">
        <v>39510</v>
      </c>
      <c r="G471">
        <v>7900</v>
      </c>
      <c r="H471">
        <v>31610</v>
      </c>
      <c r="I471" s="19">
        <v>45047</v>
      </c>
      <c r="J471" t="s">
        <v>0</v>
      </c>
      <c r="K471">
        <v>2023</v>
      </c>
    </row>
    <row r="472" spans="1:11" x14ac:dyDescent="0.3">
      <c r="A472" t="s">
        <v>16</v>
      </c>
      <c r="B472" t="s">
        <v>15</v>
      </c>
      <c r="C472" t="s">
        <v>21</v>
      </c>
      <c r="D472">
        <v>4166</v>
      </c>
      <c r="E472">
        <v>350</v>
      </c>
      <c r="F472">
        <v>1458100</v>
      </c>
      <c r="G472">
        <v>166140</v>
      </c>
      <c r="H472">
        <v>1291960</v>
      </c>
      <c r="I472" s="19">
        <v>45108</v>
      </c>
      <c r="J472" t="s">
        <v>20</v>
      </c>
      <c r="K472">
        <v>2023</v>
      </c>
    </row>
    <row r="473" spans="1:11" x14ac:dyDescent="0.3">
      <c r="A473" t="s">
        <v>3</v>
      </c>
      <c r="B473" t="s">
        <v>2</v>
      </c>
      <c r="C473" t="s">
        <v>21</v>
      </c>
      <c r="D473">
        <v>355</v>
      </c>
      <c r="E473">
        <v>125</v>
      </c>
      <c r="F473">
        <v>44375</v>
      </c>
      <c r="G473">
        <v>191520</v>
      </c>
      <c r="H473">
        <v>-147145</v>
      </c>
      <c r="I473" s="19">
        <v>45170</v>
      </c>
      <c r="J473" t="s">
        <v>22</v>
      </c>
      <c r="K473">
        <v>2023</v>
      </c>
    </row>
    <row r="474" spans="1:11" x14ac:dyDescent="0.3">
      <c r="A474" t="s">
        <v>3</v>
      </c>
      <c r="B474" t="s">
        <v>2</v>
      </c>
      <c r="C474" t="s">
        <v>21</v>
      </c>
      <c r="D474">
        <v>2382</v>
      </c>
      <c r="E474">
        <v>300</v>
      </c>
      <c r="F474">
        <v>714600</v>
      </c>
      <c r="G474">
        <v>573500</v>
      </c>
      <c r="H474">
        <v>141100</v>
      </c>
      <c r="I474" s="19">
        <v>44835</v>
      </c>
      <c r="J474" t="s">
        <v>12</v>
      </c>
      <c r="K474">
        <v>2022</v>
      </c>
    </row>
    <row r="475" spans="1:11" x14ac:dyDescent="0.3">
      <c r="A475" t="s">
        <v>19</v>
      </c>
      <c r="B475" t="s">
        <v>6</v>
      </c>
      <c r="C475" t="s">
        <v>21</v>
      </c>
      <c r="D475">
        <v>4170</v>
      </c>
      <c r="E475">
        <v>20</v>
      </c>
      <c r="F475">
        <v>83400</v>
      </c>
      <c r="G475">
        <v>2410</v>
      </c>
      <c r="H475">
        <v>80990</v>
      </c>
      <c r="I475" s="19">
        <v>45200</v>
      </c>
      <c r="J475" t="s">
        <v>12</v>
      </c>
      <c r="K475">
        <v>2023</v>
      </c>
    </row>
    <row r="476" spans="1:11" x14ac:dyDescent="0.3">
      <c r="A476" t="s">
        <v>19</v>
      </c>
      <c r="B476" t="s">
        <v>6</v>
      </c>
      <c r="C476" t="s">
        <v>21</v>
      </c>
      <c r="D476">
        <v>892</v>
      </c>
      <c r="E476">
        <v>7</v>
      </c>
      <c r="F476">
        <v>6244</v>
      </c>
      <c r="G476">
        <v>13325</v>
      </c>
      <c r="H476">
        <v>-7081</v>
      </c>
      <c r="I476" s="19">
        <v>45231</v>
      </c>
      <c r="J476" t="s">
        <v>18</v>
      </c>
      <c r="K476">
        <v>2023</v>
      </c>
    </row>
    <row r="477" spans="1:11" x14ac:dyDescent="0.3">
      <c r="A477" t="s">
        <v>7</v>
      </c>
      <c r="B477" t="s">
        <v>6</v>
      </c>
      <c r="C477" t="s">
        <v>21</v>
      </c>
      <c r="D477">
        <v>2200</v>
      </c>
      <c r="E477">
        <v>125</v>
      </c>
      <c r="F477">
        <v>275000</v>
      </c>
      <c r="G477">
        <v>229920</v>
      </c>
      <c r="H477">
        <v>45080</v>
      </c>
      <c r="I477" s="19">
        <v>44896</v>
      </c>
      <c r="J477" t="s">
        <v>17</v>
      </c>
      <c r="K477">
        <v>2022</v>
      </c>
    </row>
    <row r="478" spans="1:11" x14ac:dyDescent="0.3">
      <c r="A478" t="s">
        <v>16</v>
      </c>
      <c r="B478" t="s">
        <v>15</v>
      </c>
      <c r="C478" t="s">
        <v>21</v>
      </c>
      <c r="D478">
        <v>3389</v>
      </c>
      <c r="E478">
        <v>300</v>
      </c>
      <c r="F478">
        <v>1016700</v>
      </c>
      <c r="G478">
        <v>213250</v>
      </c>
      <c r="H478">
        <v>803450</v>
      </c>
      <c r="I478" s="19">
        <v>45261</v>
      </c>
      <c r="J478" t="s">
        <v>17</v>
      </c>
      <c r="K478">
        <v>2023</v>
      </c>
    </row>
    <row r="479" spans="1:11" x14ac:dyDescent="0.3">
      <c r="A479" t="s">
        <v>11</v>
      </c>
      <c r="B479" t="s">
        <v>10</v>
      </c>
      <c r="C479" t="s">
        <v>1</v>
      </c>
      <c r="D479">
        <v>2990</v>
      </c>
      <c r="E479">
        <v>125</v>
      </c>
      <c r="F479">
        <v>373750</v>
      </c>
      <c r="G479">
        <v>40920</v>
      </c>
      <c r="H479">
        <v>332830</v>
      </c>
      <c r="I479" s="19">
        <v>45047</v>
      </c>
      <c r="J479" t="s">
        <v>0</v>
      </c>
      <c r="K479">
        <v>2023</v>
      </c>
    </row>
    <row r="480" spans="1:11" x14ac:dyDescent="0.3">
      <c r="A480" t="s">
        <v>11</v>
      </c>
      <c r="B480" t="s">
        <v>10</v>
      </c>
      <c r="C480" t="s">
        <v>1</v>
      </c>
      <c r="D480">
        <v>4013</v>
      </c>
      <c r="E480">
        <v>15</v>
      </c>
      <c r="F480">
        <v>60195</v>
      </c>
      <c r="G480">
        <v>6410</v>
      </c>
      <c r="H480">
        <v>53785</v>
      </c>
      <c r="I480" s="19">
        <v>45108</v>
      </c>
      <c r="J480" t="s">
        <v>20</v>
      </c>
      <c r="K480">
        <v>2023</v>
      </c>
    </row>
    <row r="481" spans="1:11" x14ac:dyDescent="0.3">
      <c r="A481" t="s">
        <v>3</v>
      </c>
      <c r="B481" t="s">
        <v>2</v>
      </c>
      <c r="C481" t="s">
        <v>1</v>
      </c>
      <c r="D481">
        <v>739</v>
      </c>
      <c r="E481">
        <v>350</v>
      </c>
      <c r="F481">
        <v>258650</v>
      </c>
      <c r="G481">
        <v>729820</v>
      </c>
      <c r="H481">
        <v>-471170</v>
      </c>
      <c r="I481" s="19">
        <v>45139</v>
      </c>
      <c r="J481" t="s">
        <v>23</v>
      </c>
      <c r="K481">
        <v>2023</v>
      </c>
    </row>
    <row r="482" spans="1:11" x14ac:dyDescent="0.3">
      <c r="A482" t="s">
        <v>11</v>
      </c>
      <c r="B482" t="s">
        <v>10</v>
      </c>
      <c r="C482" t="s">
        <v>1</v>
      </c>
      <c r="D482">
        <v>1989</v>
      </c>
      <c r="E482">
        <v>300</v>
      </c>
      <c r="F482">
        <v>596700</v>
      </c>
      <c r="G482">
        <v>108000</v>
      </c>
      <c r="H482">
        <v>488700</v>
      </c>
      <c r="I482" s="19">
        <v>45170</v>
      </c>
      <c r="J482" t="s">
        <v>22</v>
      </c>
      <c r="K482">
        <v>2023</v>
      </c>
    </row>
    <row r="483" spans="1:11" x14ac:dyDescent="0.3">
      <c r="A483" t="s">
        <v>3</v>
      </c>
      <c r="B483" t="s">
        <v>2</v>
      </c>
      <c r="C483" t="s">
        <v>1</v>
      </c>
      <c r="D483">
        <v>2991</v>
      </c>
      <c r="E483">
        <v>300</v>
      </c>
      <c r="F483">
        <v>897300</v>
      </c>
      <c r="G483">
        <v>573500</v>
      </c>
      <c r="H483">
        <v>323800</v>
      </c>
      <c r="I483" s="19">
        <v>44835</v>
      </c>
      <c r="J483" t="s">
        <v>12</v>
      </c>
      <c r="K483">
        <v>2022</v>
      </c>
    </row>
    <row r="484" spans="1:11" x14ac:dyDescent="0.3">
      <c r="A484" t="s">
        <v>16</v>
      </c>
      <c r="B484" t="s">
        <v>15</v>
      </c>
      <c r="C484" t="s">
        <v>1</v>
      </c>
      <c r="D484">
        <v>4237</v>
      </c>
      <c r="E484">
        <v>15</v>
      </c>
      <c r="F484">
        <v>63555</v>
      </c>
      <c r="G484">
        <v>21670</v>
      </c>
      <c r="H484">
        <v>41885</v>
      </c>
      <c r="I484" s="19">
        <v>44835</v>
      </c>
      <c r="J484" t="s">
        <v>12</v>
      </c>
      <c r="K484">
        <v>2022</v>
      </c>
    </row>
    <row r="485" spans="1:11" x14ac:dyDescent="0.3">
      <c r="A485" t="s">
        <v>7</v>
      </c>
      <c r="B485" t="s">
        <v>6</v>
      </c>
      <c r="C485" t="s">
        <v>1</v>
      </c>
      <c r="D485">
        <v>1442</v>
      </c>
      <c r="E485">
        <v>125</v>
      </c>
      <c r="F485">
        <v>180250</v>
      </c>
      <c r="G485">
        <v>303480</v>
      </c>
      <c r="H485">
        <v>-123230</v>
      </c>
      <c r="I485" s="19">
        <v>45231</v>
      </c>
      <c r="J485" t="s">
        <v>18</v>
      </c>
      <c r="K485">
        <v>2023</v>
      </c>
    </row>
    <row r="486" spans="1:11" x14ac:dyDescent="0.3">
      <c r="A486" t="s">
        <v>19</v>
      </c>
      <c r="B486" t="s">
        <v>6</v>
      </c>
      <c r="C486" t="s">
        <v>1</v>
      </c>
      <c r="D486">
        <v>2712</v>
      </c>
      <c r="E486">
        <v>350</v>
      </c>
      <c r="F486">
        <v>949200</v>
      </c>
      <c r="G486">
        <v>486200</v>
      </c>
      <c r="H486">
        <v>463000</v>
      </c>
      <c r="I486" s="19">
        <v>44896</v>
      </c>
      <c r="J486" t="s">
        <v>17</v>
      </c>
      <c r="K486">
        <v>2022</v>
      </c>
    </row>
    <row r="487" spans="1:11" x14ac:dyDescent="0.3">
      <c r="A487" t="s">
        <v>3</v>
      </c>
      <c r="B487" t="s">
        <v>2</v>
      </c>
      <c r="C487" t="s">
        <v>13</v>
      </c>
      <c r="D487">
        <v>1508</v>
      </c>
      <c r="E487">
        <v>125</v>
      </c>
      <c r="F487">
        <v>188500</v>
      </c>
      <c r="G487">
        <v>69480</v>
      </c>
      <c r="H487">
        <v>119020</v>
      </c>
      <c r="I487" s="19">
        <v>44927</v>
      </c>
      <c r="J487" t="s">
        <v>25</v>
      </c>
      <c r="K487">
        <v>2023</v>
      </c>
    </row>
    <row r="488" spans="1:11" x14ac:dyDescent="0.3">
      <c r="A488" t="s">
        <v>7</v>
      </c>
      <c r="B488" t="s">
        <v>6</v>
      </c>
      <c r="C488" t="s">
        <v>13</v>
      </c>
      <c r="D488">
        <v>4245</v>
      </c>
      <c r="E488">
        <v>350</v>
      </c>
      <c r="F488">
        <v>1485750</v>
      </c>
      <c r="G488">
        <v>582400</v>
      </c>
      <c r="H488">
        <v>903350</v>
      </c>
      <c r="I488" s="19">
        <v>44958</v>
      </c>
      <c r="J488" t="s">
        <v>8</v>
      </c>
      <c r="K488">
        <v>2023</v>
      </c>
    </row>
    <row r="489" spans="1:11" x14ac:dyDescent="0.3">
      <c r="A489" t="s">
        <v>3</v>
      </c>
      <c r="B489" t="s">
        <v>2</v>
      </c>
      <c r="C489" t="s">
        <v>13</v>
      </c>
      <c r="D489">
        <v>2630</v>
      </c>
      <c r="E489">
        <v>300</v>
      </c>
      <c r="F489">
        <v>789000</v>
      </c>
      <c r="G489">
        <v>748250</v>
      </c>
      <c r="H489">
        <v>40750</v>
      </c>
      <c r="I489" s="19">
        <v>44986</v>
      </c>
      <c r="J489" t="s">
        <v>14</v>
      </c>
      <c r="K489">
        <v>2023</v>
      </c>
    </row>
    <row r="490" spans="1:11" x14ac:dyDescent="0.3">
      <c r="A490" t="s">
        <v>7</v>
      </c>
      <c r="B490" t="s">
        <v>6</v>
      </c>
      <c r="C490" t="s">
        <v>13</v>
      </c>
      <c r="D490">
        <v>1182</v>
      </c>
      <c r="E490">
        <v>12</v>
      </c>
      <c r="F490">
        <v>14184</v>
      </c>
      <c r="G490">
        <v>10561.5</v>
      </c>
      <c r="H490">
        <v>3622.5</v>
      </c>
      <c r="I490" s="19">
        <v>45017</v>
      </c>
      <c r="J490" t="s">
        <v>4</v>
      </c>
      <c r="K490">
        <v>2023</v>
      </c>
    </row>
    <row r="491" spans="1:11" x14ac:dyDescent="0.3">
      <c r="A491" t="s">
        <v>11</v>
      </c>
      <c r="B491" t="s">
        <v>10</v>
      </c>
      <c r="C491" t="s">
        <v>13</v>
      </c>
      <c r="D491">
        <v>1221</v>
      </c>
      <c r="E491">
        <v>20</v>
      </c>
      <c r="F491">
        <v>24420</v>
      </c>
      <c r="G491">
        <v>20390</v>
      </c>
      <c r="H491">
        <v>4030</v>
      </c>
      <c r="I491" s="19">
        <v>45047</v>
      </c>
      <c r="J491" t="s">
        <v>0</v>
      </c>
      <c r="K491">
        <v>2023</v>
      </c>
    </row>
    <row r="492" spans="1:11" x14ac:dyDescent="0.3">
      <c r="A492" t="s">
        <v>19</v>
      </c>
      <c r="B492" t="s">
        <v>6</v>
      </c>
      <c r="C492" t="s">
        <v>13</v>
      </c>
      <c r="D492">
        <v>963</v>
      </c>
      <c r="E492">
        <v>12</v>
      </c>
      <c r="F492">
        <v>11556</v>
      </c>
      <c r="G492">
        <v>7722</v>
      </c>
      <c r="H492">
        <v>3834</v>
      </c>
      <c r="I492" s="19">
        <v>45139</v>
      </c>
      <c r="J492" t="s">
        <v>23</v>
      </c>
      <c r="K492">
        <v>2023</v>
      </c>
    </row>
    <row r="493" spans="1:11" x14ac:dyDescent="0.3">
      <c r="A493" t="s">
        <v>7</v>
      </c>
      <c r="B493" t="s">
        <v>6</v>
      </c>
      <c r="C493" t="s">
        <v>13</v>
      </c>
      <c r="D493">
        <v>3243</v>
      </c>
      <c r="E493">
        <v>350</v>
      </c>
      <c r="F493">
        <v>1135050</v>
      </c>
      <c r="G493">
        <v>183820</v>
      </c>
      <c r="H493">
        <v>951230</v>
      </c>
      <c r="I493" s="19">
        <v>45170</v>
      </c>
      <c r="J493" t="s">
        <v>22</v>
      </c>
      <c r="K493">
        <v>2023</v>
      </c>
    </row>
    <row r="494" spans="1:11" x14ac:dyDescent="0.3">
      <c r="A494" t="s">
        <v>16</v>
      </c>
      <c r="B494" t="s">
        <v>15</v>
      </c>
      <c r="C494" t="s">
        <v>13</v>
      </c>
      <c r="D494">
        <v>1120</v>
      </c>
      <c r="E494">
        <v>15</v>
      </c>
      <c r="F494">
        <v>16800</v>
      </c>
      <c r="G494">
        <v>20720</v>
      </c>
      <c r="H494">
        <v>-3920</v>
      </c>
      <c r="I494" s="19">
        <v>45261</v>
      </c>
      <c r="J494" t="s">
        <v>17</v>
      </c>
      <c r="K494">
        <v>2023</v>
      </c>
    </row>
    <row r="495" spans="1:11" x14ac:dyDescent="0.3">
      <c r="A495" t="s">
        <v>16</v>
      </c>
      <c r="B495" t="s">
        <v>15</v>
      </c>
      <c r="C495" t="s">
        <v>13</v>
      </c>
      <c r="D495">
        <v>1174</v>
      </c>
      <c r="E495">
        <v>300</v>
      </c>
      <c r="F495">
        <v>352200</v>
      </c>
      <c r="G495">
        <v>213250</v>
      </c>
      <c r="H495">
        <v>138950</v>
      </c>
      <c r="I495" s="19">
        <v>45261</v>
      </c>
      <c r="J495" t="s">
        <v>17</v>
      </c>
      <c r="K495">
        <v>2023</v>
      </c>
    </row>
    <row r="496" spans="1:11" x14ac:dyDescent="0.3">
      <c r="A496" t="s">
        <v>16</v>
      </c>
      <c r="B496" t="s">
        <v>15</v>
      </c>
      <c r="C496" t="s">
        <v>24</v>
      </c>
      <c r="D496">
        <v>2541</v>
      </c>
      <c r="E496">
        <v>12</v>
      </c>
      <c r="F496">
        <v>30492</v>
      </c>
      <c r="G496">
        <v>3594</v>
      </c>
      <c r="H496">
        <v>26898</v>
      </c>
      <c r="I496" s="19">
        <v>44835</v>
      </c>
      <c r="J496" t="s">
        <v>12</v>
      </c>
      <c r="K496">
        <v>2022</v>
      </c>
    </row>
    <row r="497" spans="1:11" x14ac:dyDescent="0.3">
      <c r="A497" t="s">
        <v>16</v>
      </c>
      <c r="B497" t="s">
        <v>15</v>
      </c>
      <c r="C497" t="s">
        <v>5</v>
      </c>
      <c r="D497">
        <v>3246</v>
      </c>
      <c r="E497">
        <v>7</v>
      </c>
      <c r="F497">
        <v>22722</v>
      </c>
      <c r="G497">
        <v>12660</v>
      </c>
      <c r="H497">
        <v>10062</v>
      </c>
      <c r="I497" s="19">
        <v>45017</v>
      </c>
      <c r="J497" t="s">
        <v>4</v>
      </c>
      <c r="K497">
        <v>2023</v>
      </c>
    </row>
    <row r="498" spans="1:11" x14ac:dyDescent="0.3">
      <c r="A498" t="s">
        <v>16</v>
      </c>
      <c r="B498" t="s">
        <v>15</v>
      </c>
      <c r="C498" t="s">
        <v>5</v>
      </c>
      <c r="D498">
        <v>1531</v>
      </c>
      <c r="E498">
        <v>12</v>
      </c>
      <c r="F498">
        <v>18372</v>
      </c>
      <c r="G498">
        <v>3594</v>
      </c>
      <c r="H498">
        <v>14778</v>
      </c>
      <c r="I498" s="19">
        <v>44835</v>
      </c>
      <c r="J498" t="s">
        <v>12</v>
      </c>
      <c r="K498">
        <v>2022</v>
      </c>
    </row>
    <row r="499" spans="1:11" x14ac:dyDescent="0.3">
      <c r="A499" t="s">
        <v>7</v>
      </c>
      <c r="B499" t="s">
        <v>6</v>
      </c>
      <c r="C499" t="s">
        <v>21</v>
      </c>
      <c r="D499">
        <v>2526</v>
      </c>
      <c r="E499">
        <v>15</v>
      </c>
      <c r="F499">
        <v>37890</v>
      </c>
      <c r="G499">
        <v>3840</v>
      </c>
      <c r="H499">
        <v>34050</v>
      </c>
      <c r="I499" s="19">
        <v>44927</v>
      </c>
      <c r="J499" t="s">
        <v>25</v>
      </c>
      <c r="K499">
        <v>2023</v>
      </c>
    </row>
    <row r="500" spans="1:11" x14ac:dyDescent="0.3">
      <c r="A500" t="s">
        <v>19</v>
      </c>
      <c r="B500" t="s">
        <v>6</v>
      </c>
      <c r="C500" t="s">
        <v>21</v>
      </c>
      <c r="D500">
        <v>1136</v>
      </c>
      <c r="E500">
        <v>12</v>
      </c>
      <c r="F500">
        <v>13632</v>
      </c>
      <c r="G500">
        <v>1416</v>
      </c>
      <c r="H500">
        <v>12216</v>
      </c>
      <c r="I500" s="19">
        <v>45200</v>
      </c>
      <c r="J500" t="s">
        <v>12</v>
      </c>
      <c r="K500">
        <v>2023</v>
      </c>
    </row>
    <row r="501" spans="1:11" x14ac:dyDescent="0.3">
      <c r="A501" t="s">
        <v>3</v>
      </c>
      <c r="B501" t="s">
        <v>2</v>
      </c>
      <c r="C501" t="s">
        <v>1</v>
      </c>
      <c r="D501">
        <v>1983</v>
      </c>
      <c r="E501">
        <v>7</v>
      </c>
      <c r="F501">
        <v>13881</v>
      </c>
      <c r="G501">
        <v>7895</v>
      </c>
      <c r="H501">
        <v>5986</v>
      </c>
      <c r="I501" s="19">
        <v>44986</v>
      </c>
      <c r="J501" t="s">
        <v>14</v>
      </c>
      <c r="K501">
        <v>2023</v>
      </c>
    </row>
    <row r="502" spans="1:11" x14ac:dyDescent="0.3">
      <c r="A502" t="s">
        <v>11</v>
      </c>
      <c r="B502" t="s">
        <v>10</v>
      </c>
      <c r="C502" t="s">
        <v>1</v>
      </c>
      <c r="D502">
        <v>3259</v>
      </c>
      <c r="E502">
        <v>12</v>
      </c>
      <c r="F502">
        <v>39108</v>
      </c>
      <c r="G502">
        <v>3015</v>
      </c>
      <c r="H502">
        <v>36093</v>
      </c>
      <c r="I502" s="19">
        <v>44805</v>
      </c>
      <c r="J502" t="s">
        <v>22</v>
      </c>
      <c r="K502">
        <v>2022</v>
      </c>
    </row>
    <row r="503" spans="1:11" x14ac:dyDescent="0.3">
      <c r="A503" t="s">
        <v>3</v>
      </c>
      <c r="B503" t="s">
        <v>2</v>
      </c>
      <c r="C503" t="s">
        <v>13</v>
      </c>
      <c r="D503">
        <v>3267</v>
      </c>
      <c r="E503">
        <v>15</v>
      </c>
      <c r="F503">
        <v>49005</v>
      </c>
      <c r="G503">
        <v>31995</v>
      </c>
      <c r="H503">
        <v>17010</v>
      </c>
      <c r="I503" s="19">
        <v>45108</v>
      </c>
      <c r="J503" t="s">
        <v>20</v>
      </c>
      <c r="K503">
        <v>2023</v>
      </c>
    </row>
    <row r="504" spans="1:11" x14ac:dyDescent="0.3">
      <c r="A504" t="s">
        <v>19</v>
      </c>
      <c r="B504" t="s">
        <v>6</v>
      </c>
      <c r="C504" t="s">
        <v>13</v>
      </c>
      <c r="D504">
        <v>2454</v>
      </c>
      <c r="E504">
        <v>12</v>
      </c>
      <c r="F504">
        <v>29448</v>
      </c>
      <c r="G504">
        <v>1416</v>
      </c>
      <c r="H504">
        <v>28032</v>
      </c>
      <c r="I504" s="19">
        <v>45200</v>
      </c>
      <c r="J504" t="s">
        <v>12</v>
      </c>
      <c r="K504">
        <v>2023</v>
      </c>
    </row>
    <row r="505" spans="1:11" x14ac:dyDescent="0.3">
      <c r="A505" t="s">
        <v>7</v>
      </c>
      <c r="B505" t="s">
        <v>6</v>
      </c>
      <c r="C505" t="s">
        <v>24</v>
      </c>
      <c r="D505">
        <v>2643</v>
      </c>
      <c r="E505">
        <v>12</v>
      </c>
      <c r="F505">
        <v>31716</v>
      </c>
      <c r="G505">
        <v>5811</v>
      </c>
      <c r="H505">
        <v>25905</v>
      </c>
      <c r="I505" s="19">
        <v>44958</v>
      </c>
      <c r="J505" t="s">
        <v>8</v>
      </c>
      <c r="K505">
        <v>2023</v>
      </c>
    </row>
    <row r="506" spans="1:11" x14ac:dyDescent="0.3">
      <c r="A506" t="s">
        <v>19</v>
      </c>
      <c r="B506" t="s">
        <v>6</v>
      </c>
      <c r="C506" t="s">
        <v>24</v>
      </c>
      <c r="D506">
        <v>383</v>
      </c>
      <c r="E506">
        <v>350</v>
      </c>
      <c r="F506">
        <v>134050</v>
      </c>
      <c r="G506">
        <v>205920</v>
      </c>
      <c r="H506">
        <v>-71870</v>
      </c>
      <c r="I506" s="19">
        <v>44986</v>
      </c>
      <c r="J506" t="s">
        <v>14</v>
      </c>
      <c r="K506">
        <v>2023</v>
      </c>
    </row>
    <row r="507" spans="1:11" x14ac:dyDescent="0.3">
      <c r="A507" t="s">
        <v>19</v>
      </c>
      <c r="B507" t="s">
        <v>6</v>
      </c>
      <c r="C507" t="s">
        <v>24</v>
      </c>
      <c r="D507">
        <v>2801</v>
      </c>
      <c r="E507">
        <v>300</v>
      </c>
      <c r="F507">
        <v>840300</v>
      </c>
      <c r="G507">
        <v>702750</v>
      </c>
      <c r="H507">
        <v>137550</v>
      </c>
      <c r="I507" s="19">
        <v>45108</v>
      </c>
      <c r="J507" t="s">
        <v>20</v>
      </c>
      <c r="K507">
        <v>2023</v>
      </c>
    </row>
    <row r="508" spans="1:11" x14ac:dyDescent="0.3">
      <c r="A508" t="s">
        <v>16</v>
      </c>
      <c r="B508" t="s">
        <v>15</v>
      </c>
      <c r="C508" t="s">
        <v>24</v>
      </c>
      <c r="D508">
        <v>1667</v>
      </c>
      <c r="E508">
        <v>125</v>
      </c>
      <c r="F508">
        <v>208375</v>
      </c>
      <c r="G508">
        <v>292920</v>
      </c>
      <c r="H508">
        <v>-84545</v>
      </c>
      <c r="I508" s="19">
        <v>45200</v>
      </c>
      <c r="J508" t="s">
        <v>12</v>
      </c>
      <c r="K508">
        <v>2023</v>
      </c>
    </row>
    <row r="509" spans="1:11" x14ac:dyDescent="0.3">
      <c r="A509" t="s">
        <v>7</v>
      </c>
      <c r="B509" t="s">
        <v>6</v>
      </c>
      <c r="C509" t="s">
        <v>24</v>
      </c>
      <c r="D509">
        <v>3539</v>
      </c>
      <c r="E509">
        <v>15</v>
      </c>
      <c r="F509">
        <v>53085</v>
      </c>
      <c r="G509">
        <v>15600</v>
      </c>
      <c r="H509">
        <v>37485</v>
      </c>
      <c r="I509" s="19">
        <v>44866</v>
      </c>
      <c r="J509" t="s">
        <v>18</v>
      </c>
      <c r="K509">
        <v>2022</v>
      </c>
    </row>
    <row r="510" spans="1:11" x14ac:dyDescent="0.3">
      <c r="A510" t="s">
        <v>11</v>
      </c>
      <c r="B510" t="s">
        <v>10</v>
      </c>
      <c r="C510" t="s">
        <v>24</v>
      </c>
      <c r="D510">
        <v>4226</v>
      </c>
      <c r="E510">
        <v>7</v>
      </c>
      <c r="F510">
        <v>29582</v>
      </c>
      <c r="G510">
        <v>13530</v>
      </c>
      <c r="H510">
        <v>16052</v>
      </c>
      <c r="I510" s="19">
        <v>44866</v>
      </c>
      <c r="J510" t="s">
        <v>18</v>
      </c>
      <c r="K510">
        <v>2022</v>
      </c>
    </row>
    <row r="511" spans="1:11" x14ac:dyDescent="0.3">
      <c r="A511" t="s">
        <v>19</v>
      </c>
      <c r="B511" t="s">
        <v>6</v>
      </c>
      <c r="C511" t="s">
        <v>9</v>
      </c>
      <c r="D511">
        <v>2220</v>
      </c>
      <c r="E511">
        <v>350</v>
      </c>
      <c r="F511">
        <v>777000</v>
      </c>
      <c r="G511">
        <v>199160</v>
      </c>
      <c r="H511">
        <v>577840</v>
      </c>
      <c r="I511" s="19">
        <v>44927</v>
      </c>
      <c r="J511" t="s">
        <v>25</v>
      </c>
      <c r="K511">
        <v>2023</v>
      </c>
    </row>
    <row r="512" spans="1:11" x14ac:dyDescent="0.3">
      <c r="A512" t="s">
        <v>19</v>
      </c>
      <c r="B512" t="s">
        <v>6</v>
      </c>
      <c r="C512" t="s">
        <v>9</v>
      </c>
      <c r="D512">
        <v>776</v>
      </c>
      <c r="E512">
        <v>20</v>
      </c>
      <c r="F512">
        <v>15520</v>
      </c>
      <c r="G512">
        <v>29920</v>
      </c>
      <c r="H512">
        <v>-14400</v>
      </c>
      <c r="I512" s="19">
        <v>44835</v>
      </c>
      <c r="J512" t="s">
        <v>12</v>
      </c>
      <c r="K512">
        <v>2022</v>
      </c>
    </row>
    <row r="513" spans="1:11" x14ac:dyDescent="0.3">
      <c r="A513" t="s">
        <v>11</v>
      </c>
      <c r="B513" t="s">
        <v>10</v>
      </c>
      <c r="C513" t="s">
        <v>9</v>
      </c>
      <c r="D513">
        <v>553</v>
      </c>
      <c r="E513">
        <v>15</v>
      </c>
      <c r="F513">
        <v>8295</v>
      </c>
      <c r="G513">
        <v>21570</v>
      </c>
      <c r="H513">
        <v>-13275</v>
      </c>
      <c r="I513" s="19">
        <v>45261</v>
      </c>
      <c r="J513" t="s">
        <v>17</v>
      </c>
      <c r="K513">
        <v>2023</v>
      </c>
    </row>
    <row r="514" spans="1:11" x14ac:dyDescent="0.3">
      <c r="A514" t="s">
        <v>7</v>
      </c>
      <c r="B514" t="s">
        <v>6</v>
      </c>
      <c r="C514" t="s">
        <v>5</v>
      </c>
      <c r="D514">
        <v>2107</v>
      </c>
      <c r="E514">
        <v>300</v>
      </c>
      <c r="F514">
        <v>632100</v>
      </c>
      <c r="G514">
        <v>218250</v>
      </c>
      <c r="H514">
        <v>413850</v>
      </c>
      <c r="I514" s="19">
        <v>44927</v>
      </c>
      <c r="J514" t="s">
        <v>25</v>
      </c>
      <c r="K514">
        <v>2023</v>
      </c>
    </row>
    <row r="515" spans="1:11" x14ac:dyDescent="0.3">
      <c r="A515" t="s">
        <v>11</v>
      </c>
      <c r="B515" t="s">
        <v>10</v>
      </c>
      <c r="C515" t="s">
        <v>5</v>
      </c>
      <c r="D515">
        <v>2468</v>
      </c>
      <c r="E515">
        <v>20</v>
      </c>
      <c r="F515">
        <v>49360</v>
      </c>
      <c r="G515">
        <v>11220</v>
      </c>
      <c r="H515">
        <v>38140</v>
      </c>
      <c r="I515" s="19">
        <v>44986</v>
      </c>
      <c r="J515" t="s">
        <v>14</v>
      </c>
      <c r="K515">
        <v>2023</v>
      </c>
    </row>
    <row r="516" spans="1:11" x14ac:dyDescent="0.3">
      <c r="A516" t="s">
        <v>7</v>
      </c>
      <c r="B516" t="s">
        <v>6</v>
      </c>
      <c r="C516" t="s">
        <v>5</v>
      </c>
      <c r="D516">
        <v>1905</v>
      </c>
      <c r="E516">
        <v>350</v>
      </c>
      <c r="F516">
        <v>666750</v>
      </c>
      <c r="G516">
        <v>547170</v>
      </c>
      <c r="H516">
        <v>119580</v>
      </c>
      <c r="I516" s="19">
        <v>45108</v>
      </c>
      <c r="J516" t="s">
        <v>20</v>
      </c>
      <c r="K516">
        <v>2023</v>
      </c>
    </row>
    <row r="517" spans="1:11" x14ac:dyDescent="0.3">
      <c r="A517" t="s">
        <v>7</v>
      </c>
      <c r="B517" t="s">
        <v>6</v>
      </c>
      <c r="C517" t="s">
        <v>5</v>
      </c>
      <c r="D517">
        <v>3658</v>
      </c>
      <c r="E517">
        <v>12</v>
      </c>
      <c r="F517">
        <v>43896</v>
      </c>
      <c r="G517">
        <v>12078</v>
      </c>
      <c r="H517">
        <v>31818</v>
      </c>
      <c r="I517" s="19">
        <v>45108</v>
      </c>
      <c r="J517" t="s">
        <v>20</v>
      </c>
      <c r="K517">
        <v>2023</v>
      </c>
    </row>
    <row r="518" spans="1:11" x14ac:dyDescent="0.3">
      <c r="A518" t="s">
        <v>16</v>
      </c>
      <c r="B518" t="s">
        <v>15</v>
      </c>
      <c r="C518" t="s">
        <v>5</v>
      </c>
      <c r="D518">
        <v>4301</v>
      </c>
      <c r="E518">
        <v>12</v>
      </c>
      <c r="F518">
        <v>51612</v>
      </c>
      <c r="G518">
        <v>7276.5</v>
      </c>
      <c r="H518">
        <v>44335.5</v>
      </c>
      <c r="I518" s="19">
        <v>45108</v>
      </c>
      <c r="J518" t="s">
        <v>20</v>
      </c>
      <c r="K518">
        <v>2023</v>
      </c>
    </row>
    <row r="519" spans="1:11" x14ac:dyDescent="0.3">
      <c r="A519" t="s">
        <v>7</v>
      </c>
      <c r="B519" t="s">
        <v>6</v>
      </c>
      <c r="C519" t="s">
        <v>5</v>
      </c>
      <c r="D519">
        <v>2446</v>
      </c>
      <c r="E519">
        <v>20</v>
      </c>
      <c r="F519">
        <v>48920</v>
      </c>
      <c r="G519">
        <v>23940</v>
      </c>
      <c r="H519">
        <v>24980</v>
      </c>
      <c r="I519" s="19">
        <v>45139</v>
      </c>
      <c r="J519" t="s">
        <v>23</v>
      </c>
      <c r="K519">
        <v>2023</v>
      </c>
    </row>
    <row r="520" spans="1:11" x14ac:dyDescent="0.3">
      <c r="A520" t="s">
        <v>11</v>
      </c>
      <c r="B520" t="s">
        <v>10</v>
      </c>
      <c r="C520" t="s">
        <v>5</v>
      </c>
      <c r="D520">
        <v>4209</v>
      </c>
      <c r="E520">
        <v>15</v>
      </c>
      <c r="F520">
        <v>63135</v>
      </c>
      <c r="G520">
        <v>19840</v>
      </c>
      <c r="H520">
        <v>43295</v>
      </c>
      <c r="I520" s="19">
        <v>45139</v>
      </c>
      <c r="J520" t="s">
        <v>23</v>
      </c>
      <c r="K520">
        <v>2023</v>
      </c>
    </row>
    <row r="521" spans="1:11" x14ac:dyDescent="0.3">
      <c r="A521" t="s">
        <v>16</v>
      </c>
      <c r="B521" t="s">
        <v>15</v>
      </c>
      <c r="C521" t="s">
        <v>5</v>
      </c>
      <c r="D521">
        <v>3353</v>
      </c>
      <c r="E521">
        <v>125</v>
      </c>
      <c r="F521">
        <v>419125</v>
      </c>
      <c r="G521">
        <v>292920</v>
      </c>
      <c r="H521">
        <v>126205</v>
      </c>
      <c r="I521" s="19">
        <v>45200</v>
      </c>
      <c r="J521" t="s">
        <v>12</v>
      </c>
      <c r="K521">
        <v>2023</v>
      </c>
    </row>
    <row r="522" spans="1:11" x14ac:dyDescent="0.3">
      <c r="A522" t="s">
        <v>19</v>
      </c>
      <c r="B522" t="s">
        <v>6</v>
      </c>
      <c r="C522" t="s">
        <v>5</v>
      </c>
      <c r="D522">
        <v>1401</v>
      </c>
      <c r="E522">
        <v>20</v>
      </c>
      <c r="F522">
        <v>28020</v>
      </c>
      <c r="G522">
        <v>29920</v>
      </c>
      <c r="H522">
        <v>-1900</v>
      </c>
      <c r="I522" s="19">
        <v>44835</v>
      </c>
      <c r="J522" t="s">
        <v>12</v>
      </c>
      <c r="K522">
        <v>2022</v>
      </c>
    </row>
    <row r="523" spans="1:11" x14ac:dyDescent="0.3">
      <c r="A523" t="s">
        <v>7</v>
      </c>
      <c r="B523" t="s">
        <v>6</v>
      </c>
      <c r="C523" t="s">
        <v>5</v>
      </c>
      <c r="D523">
        <v>1865</v>
      </c>
      <c r="E523">
        <v>300</v>
      </c>
      <c r="F523">
        <v>559500</v>
      </c>
      <c r="G523">
        <v>341500</v>
      </c>
      <c r="H523">
        <v>218000</v>
      </c>
      <c r="I523" s="19">
        <v>45231</v>
      </c>
      <c r="J523" t="s">
        <v>18</v>
      </c>
      <c r="K523">
        <v>2023</v>
      </c>
    </row>
    <row r="524" spans="1:11" x14ac:dyDescent="0.3">
      <c r="A524" t="s">
        <v>16</v>
      </c>
      <c r="B524" t="s">
        <v>15</v>
      </c>
      <c r="C524" t="s">
        <v>21</v>
      </c>
      <c r="D524">
        <v>463</v>
      </c>
      <c r="E524">
        <v>20</v>
      </c>
      <c r="F524">
        <v>9260</v>
      </c>
      <c r="G524">
        <v>28050</v>
      </c>
      <c r="H524">
        <v>-18790</v>
      </c>
      <c r="I524" s="19">
        <v>44805</v>
      </c>
      <c r="J524" t="s">
        <v>22</v>
      </c>
      <c r="K524">
        <v>2022</v>
      </c>
    </row>
    <row r="525" spans="1:11" x14ac:dyDescent="0.3">
      <c r="A525" t="s">
        <v>11</v>
      </c>
      <c r="B525" t="s">
        <v>10</v>
      </c>
      <c r="C525" t="s">
        <v>21</v>
      </c>
      <c r="D525">
        <v>4177</v>
      </c>
      <c r="E525">
        <v>15</v>
      </c>
      <c r="F525">
        <v>62655</v>
      </c>
      <c r="G525">
        <v>6550</v>
      </c>
      <c r="H525">
        <v>56105</v>
      </c>
      <c r="I525" s="19">
        <v>44805</v>
      </c>
      <c r="J525" t="s">
        <v>22</v>
      </c>
      <c r="K525">
        <v>2022</v>
      </c>
    </row>
    <row r="526" spans="1:11" x14ac:dyDescent="0.3">
      <c r="A526" t="s">
        <v>11</v>
      </c>
      <c r="B526" t="s">
        <v>10</v>
      </c>
      <c r="C526" t="s">
        <v>21</v>
      </c>
      <c r="D526">
        <v>2523</v>
      </c>
      <c r="E526">
        <v>350</v>
      </c>
      <c r="F526">
        <v>883050</v>
      </c>
      <c r="G526">
        <v>89440</v>
      </c>
      <c r="H526">
        <v>793610</v>
      </c>
      <c r="I526" s="19">
        <v>44835</v>
      </c>
      <c r="J526" t="s">
        <v>12</v>
      </c>
      <c r="K526">
        <v>2022</v>
      </c>
    </row>
    <row r="527" spans="1:11" x14ac:dyDescent="0.3">
      <c r="A527" t="s">
        <v>7</v>
      </c>
      <c r="B527" t="s">
        <v>6</v>
      </c>
      <c r="C527" t="s">
        <v>21</v>
      </c>
      <c r="D527">
        <v>1930</v>
      </c>
      <c r="E527">
        <v>7</v>
      </c>
      <c r="F527">
        <v>13510</v>
      </c>
      <c r="G527">
        <v>9040</v>
      </c>
      <c r="H527">
        <v>4470</v>
      </c>
      <c r="I527" s="19">
        <v>45231</v>
      </c>
      <c r="J527" t="s">
        <v>18</v>
      </c>
      <c r="K527">
        <v>2023</v>
      </c>
    </row>
    <row r="528" spans="1:11" x14ac:dyDescent="0.3">
      <c r="A528" t="s">
        <v>16</v>
      </c>
      <c r="B528" t="s">
        <v>15</v>
      </c>
      <c r="C528" t="s">
        <v>1</v>
      </c>
      <c r="D528">
        <v>1301</v>
      </c>
      <c r="E528">
        <v>12</v>
      </c>
      <c r="F528">
        <v>15612</v>
      </c>
      <c r="G528">
        <v>5202</v>
      </c>
      <c r="H528">
        <v>10410</v>
      </c>
      <c r="I528" s="19">
        <v>44927</v>
      </c>
      <c r="J528" t="s">
        <v>25</v>
      </c>
      <c r="K528">
        <v>2023</v>
      </c>
    </row>
    <row r="529" spans="1:11" x14ac:dyDescent="0.3">
      <c r="A529" t="s">
        <v>11</v>
      </c>
      <c r="B529" t="s">
        <v>10</v>
      </c>
      <c r="C529" t="s">
        <v>1</v>
      </c>
      <c r="D529">
        <v>4125</v>
      </c>
      <c r="E529">
        <v>125</v>
      </c>
      <c r="F529">
        <v>515625</v>
      </c>
      <c r="G529">
        <v>66480</v>
      </c>
      <c r="H529">
        <v>449145</v>
      </c>
      <c r="I529" s="19">
        <v>44927</v>
      </c>
      <c r="J529" t="s">
        <v>25</v>
      </c>
      <c r="K529">
        <v>2023</v>
      </c>
    </row>
    <row r="530" spans="1:11" x14ac:dyDescent="0.3">
      <c r="A530" t="s">
        <v>7</v>
      </c>
      <c r="B530" t="s">
        <v>6</v>
      </c>
      <c r="C530" t="s">
        <v>1</v>
      </c>
      <c r="D530">
        <v>607</v>
      </c>
      <c r="E530">
        <v>20</v>
      </c>
      <c r="F530">
        <v>12140</v>
      </c>
      <c r="G530">
        <v>29350</v>
      </c>
      <c r="H530">
        <v>-17210</v>
      </c>
      <c r="I530" s="19">
        <v>44866</v>
      </c>
      <c r="J530" t="s">
        <v>18</v>
      </c>
      <c r="K530">
        <v>2022</v>
      </c>
    </row>
    <row r="531" spans="1:11" x14ac:dyDescent="0.3">
      <c r="A531" t="s">
        <v>19</v>
      </c>
      <c r="B531" t="s">
        <v>6</v>
      </c>
      <c r="C531" t="s">
        <v>13</v>
      </c>
      <c r="D531">
        <v>478</v>
      </c>
      <c r="E531">
        <v>125</v>
      </c>
      <c r="F531">
        <v>59750</v>
      </c>
      <c r="G531">
        <v>379800</v>
      </c>
      <c r="H531">
        <v>-320050</v>
      </c>
      <c r="I531" s="19">
        <v>44927</v>
      </c>
      <c r="J531" t="s">
        <v>25</v>
      </c>
      <c r="K531">
        <v>2023</v>
      </c>
    </row>
    <row r="532" spans="1:11" x14ac:dyDescent="0.3">
      <c r="A532" t="s">
        <v>11</v>
      </c>
      <c r="B532" t="s">
        <v>10</v>
      </c>
      <c r="C532" t="s">
        <v>13</v>
      </c>
      <c r="D532">
        <v>4489</v>
      </c>
      <c r="E532">
        <v>20</v>
      </c>
      <c r="F532">
        <v>89780</v>
      </c>
      <c r="G532">
        <v>26290</v>
      </c>
      <c r="H532">
        <v>63490</v>
      </c>
      <c r="I532" s="19">
        <v>44927</v>
      </c>
      <c r="J532" t="s">
        <v>25</v>
      </c>
      <c r="K532">
        <v>2023</v>
      </c>
    </row>
    <row r="533" spans="1:11" x14ac:dyDescent="0.3">
      <c r="A533" t="s">
        <v>16</v>
      </c>
      <c r="B533" t="s">
        <v>15</v>
      </c>
      <c r="C533" t="s">
        <v>13</v>
      </c>
      <c r="D533">
        <v>1504</v>
      </c>
      <c r="E533">
        <v>125</v>
      </c>
      <c r="F533">
        <v>188000</v>
      </c>
      <c r="G533">
        <v>171960</v>
      </c>
      <c r="H533">
        <v>16040</v>
      </c>
      <c r="I533" s="19">
        <v>45047</v>
      </c>
      <c r="J533" t="s">
        <v>0</v>
      </c>
      <c r="K533">
        <v>2023</v>
      </c>
    </row>
    <row r="534" spans="1:11" x14ac:dyDescent="0.3">
      <c r="A534" t="s">
        <v>11</v>
      </c>
      <c r="B534" t="s">
        <v>10</v>
      </c>
      <c r="C534" t="s">
        <v>13</v>
      </c>
      <c r="D534">
        <v>3763</v>
      </c>
      <c r="E534">
        <v>125</v>
      </c>
      <c r="F534">
        <v>470375</v>
      </c>
      <c r="G534">
        <v>113640</v>
      </c>
      <c r="H534">
        <v>356735</v>
      </c>
      <c r="I534" s="19">
        <v>44805</v>
      </c>
      <c r="J534" t="s">
        <v>22</v>
      </c>
      <c r="K534">
        <v>2022</v>
      </c>
    </row>
    <row r="535" spans="1:11" x14ac:dyDescent="0.3">
      <c r="A535" t="s">
        <v>11</v>
      </c>
      <c r="B535" t="s">
        <v>10</v>
      </c>
      <c r="C535" t="s">
        <v>13</v>
      </c>
      <c r="D535">
        <v>2412</v>
      </c>
      <c r="E535">
        <v>350</v>
      </c>
      <c r="F535">
        <v>844200</v>
      </c>
      <c r="G535">
        <v>89440</v>
      </c>
      <c r="H535">
        <v>754760</v>
      </c>
      <c r="I535" s="19">
        <v>44835</v>
      </c>
      <c r="J535" t="s">
        <v>12</v>
      </c>
      <c r="K535">
        <v>2022</v>
      </c>
    </row>
    <row r="536" spans="1:11" x14ac:dyDescent="0.3">
      <c r="A536" t="s">
        <v>11</v>
      </c>
      <c r="B536" t="s">
        <v>10</v>
      </c>
      <c r="C536" t="s">
        <v>13</v>
      </c>
      <c r="D536">
        <v>2342</v>
      </c>
      <c r="E536">
        <v>15</v>
      </c>
      <c r="F536">
        <v>35130</v>
      </c>
      <c r="G536">
        <v>21570</v>
      </c>
      <c r="H536">
        <v>13560</v>
      </c>
      <c r="I536" s="19">
        <v>45261</v>
      </c>
      <c r="J536" t="s">
        <v>17</v>
      </c>
      <c r="K536">
        <v>2023</v>
      </c>
    </row>
    <row r="537" spans="1:11" x14ac:dyDescent="0.3">
      <c r="A537" t="s">
        <v>3</v>
      </c>
      <c r="B537" t="s">
        <v>2</v>
      </c>
      <c r="C537" t="s">
        <v>5</v>
      </c>
      <c r="D537">
        <v>4451</v>
      </c>
      <c r="E537">
        <v>7</v>
      </c>
      <c r="F537">
        <v>31157</v>
      </c>
      <c r="G537">
        <v>1900</v>
      </c>
      <c r="H537">
        <v>29257</v>
      </c>
      <c r="I537" s="19">
        <v>44805</v>
      </c>
      <c r="J537" t="s">
        <v>22</v>
      </c>
      <c r="K537">
        <v>2022</v>
      </c>
    </row>
    <row r="538" spans="1:11" x14ac:dyDescent="0.3">
      <c r="A538" t="s">
        <v>11</v>
      </c>
      <c r="B538" t="s">
        <v>10</v>
      </c>
      <c r="C538" t="s">
        <v>24</v>
      </c>
      <c r="D538">
        <v>3796</v>
      </c>
      <c r="E538">
        <v>350</v>
      </c>
      <c r="F538">
        <v>1328600</v>
      </c>
      <c r="G538">
        <v>230360</v>
      </c>
      <c r="H538">
        <v>1098240</v>
      </c>
      <c r="I538" s="19">
        <v>45078</v>
      </c>
      <c r="J538" t="s">
        <v>26</v>
      </c>
      <c r="K538">
        <v>2023</v>
      </c>
    </row>
    <row r="539" spans="1:11" x14ac:dyDescent="0.3">
      <c r="A539" t="s">
        <v>7</v>
      </c>
      <c r="B539" t="s">
        <v>6</v>
      </c>
      <c r="C539" t="s">
        <v>24</v>
      </c>
      <c r="D539">
        <v>2286</v>
      </c>
      <c r="E539">
        <v>125</v>
      </c>
      <c r="F539">
        <v>285750</v>
      </c>
      <c r="G539">
        <v>289920</v>
      </c>
      <c r="H539">
        <v>-4170</v>
      </c>
      <c r="I539" s="19">
        <v>44805</v>
      </c>
      <c r="J539" t="s">
        <v>22</v>
      </c>
      <c r="K539">
        <v>2022</v>
      </c>
    </row>
    <row r="540" spans="1:11" x14ac:dyDescent="0.3">
      <c r="A540" t="s">
        <v>11</v>
      </c>
      <c r="B540" t="s">
        <v>10</v>
      </c>
      <c r="C540" t="s">
        <v>24</v>
      </c>
      <c r="D540">
        <v>3614</v>
      </c>
      <c r="E540">
        <v>125</v>
      </c>
      <c r="F540">
        <v>451750</v>
      </c>
      <c r="G540">
        <v>258720</v>
      </c>
      <c r="H540">
        <v>193030</v>
      </c>
      <c r="I540" s="19">
        <v>45200</v>
      </c>
      <c r="J540" t="s">
        <v>12</v>
      </c>
      <c r="K540">
        <v>2023</v>
      </c>
    </row>
    <row r="541" spans="1:11" x14ac:dyDescent="0.3">
      <c r="A541" t="s">
        <v>7</v>
      </c>
      <c r="B541" t="s">
        <v>6</v>
      </c>
      <c r="C541" t="s">
        <v>24</v>
      </c>
      <c r="D541">
        <v>1716</v>
      </c>
      <c r="E541">
        <v>15</v>
      </c>
      <c r="F541">
        <v>25740</v>
      </c>
      <c r="G541">
        <v>26890</v>
      </c>
      <c r="H541">
        <v>-1150</v>
      </c>
      <c r="I541" s="19">
        <v>45231</v>
      </c>
      <c r="J541" t="s">
        <v>18</v>
      </c>
      <c r="K541">
        <v>2023</v>
      </c>
    </row>
    <row r="542" spans="1:11" x14ac:dyDescent="0.3">
      <c r="A542" t="s">
        <v>3</v>
      </c>
      <c r="B542" t="s">
        <v>2</v>
      </c>
      <c r="C542" t="s">
        <v>9</v>
      </c>
      <c r="D542">
        <v>1301</v>
      </c>
      <c r="E542">
        <v>15</v>
      </c>
      <c r="F542">
        <v>19515</v>
      </c>
      <c r="G542">
        <v>6770</v>
      </c>
      <c r="H542">
        <v>12745</v>
      </c>
      <c r="I542" s="19">
        <v>44986</v>
      </c>
      <c r="J542" t="s">
        <v>14</v>
      </c>
      <c r="K542">
        <v>2023</v>
      </c>
    </row>
    <row r="543" spans="1:11" x14ac:dyDescent="0.3">
      <c r="A543" t="s">
        <v>16</v>
      </c>
      <c r="B543" t="s">
        <v>15</v>
      </c>
      <c r="C543" t="s">
        <v>9</v>
      </c>
      <c r="D543">
        <v>4175</v>
      </c>
      <c r="E543">
        <v>300</v>
      </c>
      <c r="F543">
        <v>1252500</v>
      </c>
      <c r="G543">
        <v>443250</v>
      </c>
      <c r="H543">
        <v>809250</v>
      </c>
      <c r="I543" s="19">
        <v>45017</v>
      </c>
      <c r="J543" t="s">
        <v>4</v>
      </c>
      <c r="K543">
        <v>2023</v>
      </c>
    </row>
    <row r="544" spans="1:11" x14ac:dyDescent="0.3">
      <c r="A544" t="s">
        <v>11</v>
      </c>
      <c r="B544" t="s">
        <v>10</v>
      </c>
      <c r="C544" t="s">
        <v>9</v>
      </c>
      <c r="D544">
        <v>975</v>
      </c>
      <c r="E544">
        <v>7</v>
      </c>
      <c r="F544">
        <v>6825</v>
      </c>
      <c r="G544">
        <v>12100</v>
      </c>
      <c r="H544">
        <v>-5275</v>
      </c>
      <c r="I544" s="19">
        <v>45170</v>
      </c>
      <c r="J544" t="s">
        <v>22</v>
      </c>
      <c r="K544">
        <v>2023</v>
      </c>
    </row>
    <row r="545" spans="1:11" x14ac:dyDescent="0.3">
      <c r="A545" t="s">
        <v>7</v>
      </c>
      <c r="B545" t="s">
        <v>6</v>
      </c>
      <c r="C545" t="s">
        <v>9</v>
      </c>
      <c r="D545">
        <v>1154</v>
      </c>
      <c r="E545">
        <v>7</v>
      </c>
      <c r="F545">
        <v>8078</v>
      </c>
      <c r="G545">
        <v>13670</v>
      </c>
      <c r="H545">
        <v>-5592</v>
      </c>
      <c r="I545" s="19">
        <v>45200</v>
      </c>
      <c r="J545" t="s">
        <v>12</v>
      </c>
      <c r="K545">
        <v>2023</v>
      </c>
    </row>
    <row r="546" spans="1:11" x14ac:dyDescent="0.3">
      <c r="A546" t="s">
        <v>11</v>
      </c>
      <c r="B546" t="s">
        <v>10</v>
      </c>
      <c r="C546" t="s">
        <v>9</v>
      </c>
      <c r="D546">
        <v>1873</v>
      </c>
      <c r="E546">
        <v>20</v>
      </c>
      <c r="F546">
        <v>37460</v>
      </c>
      <c r="G546">
        <v>17150</v>
      </c>
      <c r="H546">
        <v>20310</v>
      </c>
      <c r="I546" s="19">
        <v>44835</v>
      </c>
      <c r="J546" t="s">
        <v>12</v>
      </c>
      <c r="K546">
        <v>2022</v>
      </c>
    </row>
    <row r="547" spans="1:11" x14ac:dyDescent="0.3">
      <c r="A547" t="s">
        <v>16</v>
      </c>
      <c r="B547" t="s">
        <v>15</v>
      </c>
      <c r="C547" t="s">
        <v>9</v>
      </c>
      <c r="D547">
        <v>3766</v>
      </c>
      <c r="E547">
        <v>300</v>
      </c>
      <c r="F547">
        <v>1129800</v>
      </c>
      <c r="G547">
        <v>296500</v>
      </c>
      <c r="H547">
        <v>833300</v>
      </c>
      <c r="I547" s="19">
        <v>44896</v>
      </c>
      <c r="J547" t="s">
        <v>17</v>
      </c>
      <c r="K547">
        <v>2022</v>
      </c>
    </row>
    <row r="548" spans="1:11" x14ac:dyDescent="0.3">
      <c r="A548" t="s">
        <v>3</v>
      </c>
      <c r="B548" t="s">
        <v>2</v>
      </c>
      <c r="C548" t="s">
        <v>5</v>
      </c>
      <c r="D548">
        <v>3558</v>
      </c>
      <c r="E548">
        <v>300</v>
      </c>
      <c r="F548">
        <v>1067400</v>
      </c>
      <c r="G548">
        <v>873750</v>
      </c>
      <c r="H548">
        <v>193650</v>
      </c>
      <c r="I548" s="19">
        <v>44927</v>
      </c>
      <c r="J548" t="s">
        <v>25</v>
      </c>
      <c r="K548">
        <v>2023</v>
      </c>
    </row>
    <row r="549" spans="1:11" x14ac:dyDescent="0.3">
      <c r="A549" t="s">
        <v>11</v>
      </c>
      <c r="B549" t="s">
        <v>10</v>
      </c>
      <c r="C549" t="s">
        <v>5</v>
      </c>
      <c r="D549">
        <v>3156</v>
      </c>
      <c r="E549">
        <v>350</v>
      </c>
      <c r="F549">
        <v>1104600</v>
      </c>
      <c r="G549">
        <v>230360</v>
      </c>
      <c r="H549">
        <v>874240</v>
      </c>
      <c r="I549" s="19">
        <v>45078</v>
      </c>
      <c r="J549" t="s">
        <v>26</v>
      </c>
      <c r="K549">
        <v>2023</v>
      </c>
    </row>
    <row r="550" spans="1:11" x14ac:dyDescent="0.3">
      <c r="A550" t="s">
        <v>11</v>
      </c>
      <c r="B550" t="s">
        <v>10</v>
      </c>
      <c r="C550" t="s">
        <v>5</v>
      </c>
      <c r="D550">
        <v>2994</v>
      </c>
      <c r="E550">
        <v>125</v>
      </c>
      <c r="F550">
        <v>374250</v>
      </c>
      <c r="G550">
        <v>258720</v>
      </c>
      <c r="H550">
        <v>115530</v>
      </c>
      <c r="I550" s="19">
        <v>45200</v>
      </c>
      <c r="J550" t="s">
        <v>12</v>
      </c>
      <c r="K550">
        <v>2023</v>
      </c>
    </row>
    <row r="551" spans="1:11" x14ac:dyDescent="0.3">
      <c r="A551" t="s">
        <v>11</v>
      </c>
      <c r="B551" t="s">
        <v>10</v>
      </c>
      <c r="C551" t="s">
        <v>5</v>
      </c>
      <c r="D551">
        <v>2087</v>
      </c>
      <c r="E551">
        <v>20</v>
      </c>
      <c r="F551">
        <v>41740</v>
      </c>
      <c r="G551">
        <v>9050</v>
      </c>
      <c r="H551">
        <v>32690</v>
      </c>
      <c r="I551" s="19">
        <v>45200</v>
      </c>
      <c r="J551" t="s">
        <v>12</v>
      </c>
      <c r="K551">
        <v>2023</v>
      </c>
    </row>
    <row r="552" spans="1:11" x14ac:dyDescent="0.3">
      <c r="A552" t="s">
        <v>11</v>
      </c>
      <c r="B552" t="s">
        <v>10</v>
      </c>
      <c r="C552" t="s">
        <v>5</v>
      </c>
      <c r="D552">
        <v>1056</v>
      </c>
      <c r="E552">
        <v>20</v>
      </c>
      <c r="F552">
        <v>21120</v>
      </c>
      <c r="G552">
        <v>17150</v>
      </c>
      <c r="H552">
        <v>3970</v>
      </c>
      <c r="I552" s="19">
        <v>44835</v>
      </c>
      <c r="J552" t="s">
        <v>12</v>
      </c>
      <c r="K552">
        <v>2022</v>
      </c>
    </row>
    <row r="553" spans="1:11" x14ac:dyDescent="0.3">
      <c r="A553" t="s">
        <v>16</v>
      </c>
      <c r="B553" t="s">
        <v>15</v>
      </c>
      <c r="C553" t="s">
        <v>5</v>
      </c>
      <c r="D553">
        <v>1353</v>
      </c>
      <c r="E553">
        <v>350</v>
      </c>
      <c r="F553">
        <v>473550</v>
      </c>
      <c r="G553">
        <v>414440</v>
      </c>
      <c r="H553">
        <v>59110</v>
      </c>
      <c r="I553" s="19">
        <v>45231</v>
      </c>
      <c r="J553" t="s">
        <v>18</v>
      </c>
      <c r="K553">
        <v>2023</v>
      </c>
    </row>
    <row r="554" spans="1:11" x14ac:dyDescent="0.3">
      <c r="A554" t="s">
        <v>19</v>
      </c>
      <c r="B554" t="s">
        <v>6</v>
      </c>
      <c r="C554" t="s">
        <v>5</v>
      </c>
      <c r="D554">
        <v>416</v>
      </c>
      <c r="E554">
        <v>300</v>
      </c>
      <c r="F554">
        <v>124800</v>
      </c>
      <c r="G554">
        <v>339750</v>
      </c>
      <c r="H554">
        <v>-214950</v>
      </c>
      <c r="I554" s="19">
        <v>45231</v>
      </c>
      <c r="J554" t="s">
        <v>18</v>
      </c>
      <c r="K554">
        <v>2023</v>
      </c>
    </row>
    <row r="555" spans="1:11" x14ac:dyDescent="0.3">
      <c r="A555" t="s">
        <v>11</v>
      </c>
      <c r="B555" t="s">
        <v>10</v>
      </c>
      <c r="C555" t="s">
        <v>5</v>
      </c>
      <c r="D555">
        <v>3880</v>
      </c>
      <c r="E555">
        <v>300</v>
      </c>
      <c r="F555">
        <v>1164000</v>
      </c>
      <c r="G555">
        <v>537500</v>
      </c>
      <c r="H555">
        <v>626500</v>
      </c>
      <c r="I555" s="19">
        <v>45231</v>
      </c>
      <c r="J555" t="s">
        <v>18</v>
      </c>
      <c r="K555">
        <v>2023</v>
      </c>
    </row>
    <row r="556" spans="1:11" x14ac:dyDescent="0.3">
      <c r="A556" t="s">
        <v>11</v>
      </c>
      <c r="B556" t="s">
        <v>10</v>
      </c>
      <c r="C556" t="s">
        <v>5</v>
      </c>
      <c r="D556">
        <v>809</v>
      </c>
      <c r="E556">
        <v>350</v>
      </c>
      <c r="F556">
        <v>283150</v>
      </c>
      <c r="G556">
        <v>311220</v>
      </c>
      <c r="H556">
        <v>-28070</v>
      </c>
      <c r="I556" s="19">
        <v>45231</v>
      </c>
      <c r="J556" t="s">
        <v>18</v>
      </c>
      <c r="K556">
        <v>2023</v>
      </c>
    </row>
    <row r="557" spans="1:11" x14ac:dyDescent="0.3">
      <c r="A557" t="s">
        <v>11</v>
      </c>
      <c r="B557" t="s">
        <v>10</v>
      </c>
      <c r="C557" t="s">
        <v>5</v>
      </c>
      <c r="D557">
        <v>1892</v>
      </c>
      <c r="E557">
        <v>15</v>
      </c>
      <c r="F557">
        <v>28380</v>
      </c>
      <c r="G557">
        <v>3800</v>
      </c>
      <c r="H557">
        <v>24580</v>
      </c>
      <c r="I557" s="19">
        <v>44896</v>
      </c>
      <c r="J557" t="s">
        <v>17</v>
      </c>
      <c r="K557">
        <v>2022</v>
      </c>
    </row>
    <row r="558" spans="1:11" x14ac:dyDescent="0.3">
      <c r="A558" t="s">
        <v>11</v>
      </c>
      <c r="B558" t="s">
        <v>10</v>
      </c>
      <c r="C558" t="s">
        <v>5</v>
      </c>
      <c r="D558">
        <v>2072</v>
      </c>
      <c r="E558">
        <v>20</v>
      </c>
      <c r="F558">
        <v>41440</v>
      </c>
      <c r="G558">
        <v>12330</v>
      </c>
      <c r="H558">
        <v>29110</v>
      </c>
      <c r="I558" s="19">
        <v>45261</v>
      </c>
      <c r="J558" t="s">
        <v>17</v>
      </c>
      <c r="K558">
        <v>2023</v>
      </c>
    </row>
    <row r="559" spans="1:11" x14ac:dyDescent="0.3">
      <c r="A559" t="s">
        <v>11</v>
      </c>
      <c r="B559" t="s">
        <v>10</v>
      </c>
      <c r="C559" t="s">
        <v>21</v>
      </c>
      <c r="D559">
        <v>3052</v>
      </c>
      <c r="E559">
        <v>350</v>
      </c>
      <c r="F559">
        <v>1068200</v>
      </c>
      <c r="G559">
        <v>362700</v>
      </c>
      <c r="H559">
        <v>705500</v>
      </c>
      <c r="I559" s="19">
        <v>45108</v>
      </c>
      <c r="J559" t="s">
        <v>20</v>
      </c>
      <c r="K559">
        <v>2023</v>
      </c>
    </row>
    <row r="560" spans="1:11" x14ac:dyDescent="0.3">
      <c r="A560" t="s">
        <v>3</v>
      </c>
      <c r="B560" t="s">
        <v>2</v>
      </c>
      <c r="C560" t="s">
        <v>21</v>
      </c>
      <c r="D560">
        <v>3121</v>
      </c>
      <c r="E560">
        <v>350</v>
      </c>
      <c r="F560">
        <v>1092350</v>
      </c>
      <c r="G560">
        <v>256360</v>
      </c>
      <c r="H560">
        <v>835990</v>
      </c>
      <c r="I560" s="19">
        <v>45200</v>
      </c>
      <c r="J560" t="s">
        <v>12</v>
      </c>
      <c r="K560">
        <v>2023</v>
      </c>
    </row>
    <row r="561" spans="1:11" x14ac:dyDescent="0.3">
      <c r="A561" t="s">
        <v>11</v>
      </c>
      <c r="B561" t="s">
        <v>10</v>
      </c>
      <c r="C561" t="s">
        <v>21</v>
      </c>
      <c r="D561">
        <v>2059</v>
      </c>
      <c r="E561">
        <v>20</v>
      </c>
      <c r="F561">
        <v>41180</v>
      </c>
      <c r="G561">
        <v>9050</v>
      </c>
      <c r="H561">
        <v>32130</v>
      </c>
      <c r="I561" s="19">
        <v>45200</v>
      </c>
      <c r="J561" t="s">
        <v>12</v>
      </c>
      <c r="K561">
        <v>2023</v>
      </c>
    </row>
    <row r="562" spans="1:11" x14ac:dyDescent="0.3">
      <c r="A562" t="s">
        <v>7</v>
      </c>
      <c r="B562" t="s">
        <v>6</v>
      </c>
      <c r="C562" t="s">
        <v>1</v>
      </c>
      <c r="D562">
        <v>4254</v>
      </c>
      <c r="E562">
        <v>12</v>
      </c>
      <c r="F562">
        <v>51048</v>
      </c>
      <c r="G562">
        <v>6327</v>
      </c>
      <c r="H562">
        <v>44721</v>
      </c>
      <c r="I562" s="19">
        <v>45047</v>
      </c>
      <c r="J562" t="s">
        <v>0</v>
      </c>
      <c r="K562">
        <v>2023</v>
      </c>
    </row>
    <row r="563" spans="1:11" x14ac:dyDescent="0.3">
      <c r="A563" t="s">
        <v>16</v>
      </c>
      <c r="B563" t="s">
        <v>15</v>
      </c>
      <c r="C563" t="s">
        <v>1</v>
      </c>
      <c r="D563">
        <v>1293</v>
      </c>
      <c r="E563">
        <v>15</v>
      </c>
      <c r="F563">
        <v>19395</v>
      </c>
      <c r="G563">
        <v>38745</v>
      </c>
      <c r="H563">
        <v>-19350</v>
      </c>
      <c r="I563" s="19">
        <v>45108</v>
      </c>
      <c r="J563" t="s">
        <v>20</v>
      </c>
      <c r="K563">
        <v>2023</v>
      </c>
    </row>
    <row r="564" spans="1:11" x14ac:dyDescent="0.3">
      <c r="A564" t="s">
        <v>7</v>
      </c>
      <c r="B564" t="s">
        <v>6</v>
      </c>
      <c r="C564" t="s">
        <v>1</v>
      </c>
      <c r="D564">
        <v>1293</v>
      </c>
      <c r="E564">
        <v>350</v>
      </c>
      <c r="F564">
        <v>452550</v>
      </c>
      <c r="G564">
        <v>161980</v>
      </c>
      <c r="H564">
        <v>290570</v>
      </c>
      <c r="I564" s="19">
        <v>44805</v>
      </c>
      <c r="J564" t="s">
        <v>22</v>
      </c>
      <c r="K564">
        <v>2022</v>
      </c>
    </row>
    <row r="565" spans="1:11" x14ac:dyDescent="0.3">
      <c r="A565" t="s">
        <v>3</v>
      </c>
      <c r="B565" t="s">
        <v>2</v>
      </c>
      <c r="C565" t="s">
        <v>1</v>
      </c>
      <c r="D565">
        <v>230</v>
      </c>
      <c r="E565">
        <v>350</v>
      </c>
      <c r="F565">
        <v>80500</v>
      </c>
      <c r="G565">
        <v>256360</v>
      </c>
      <c r="H565">
        <v>-175860</v>
      </c>
      <c r="I565" s="19">
        <v>45200</v>
      </c>
      <c r="J565" t="s">
        <v>12</v>
      </c>
      <c r="K565">
        <v>2023</v>
      </c>
    </row>
    <row r="566" spans="1:11" x14ac:dyDescent="0.3">
      <c r="A566" t="s">
        <v>3</v>
      </c>
      <c r="B566" t="s">
        <v>2</v>
      </c>
      <c r="C566" t="s">
        <v>1</v>
      </c>
      <c r="D566">
        <v>1723</v>
      </c>
      <c r="E566">
        <v>125</v>
      </c>
      <c r="F566">
        <v>215375</v>
      </c>
      <c r="G566">
        <v>286440</v>
      </c>
      <c r="H566">
        <v>-71065</v>
      </c>
      <c r="I566" s="19">
        <v>45231</v>
      </c>
      <c r="J566" t="s">
        <v>18</v>
      </c>
      <c r="K566">
        <v>2023</v>
      </c>
    </row>
    <row r="567" spans="1:11" x14ac:dyDescent="0.3">
      <c r="A567" t="s">
        <v>11</v>
      </c>
      <c r="B567" t="s">
        <v>10</v>
      </c>
      <c r="C567" t="s">
        <v>1</v>
      </c>
      <c r="D567">
        <v>240</v>
      </c>
      <c r="E567">
        <v>20</v>
      </c>
      <c r="F567">
        <v>4800</v>
      </c>
      <c r="G567">
        <v>12330</v>
      </c>
      <c r="H567">
        <v>-7530</v>
      </c>
      <c r="I567" s="19">
        <v>45261</v>
      </c>
      <c r="J567" t="s">
        <v>17</v>
      </c>
      <c r="K567">
        <v>2023</v>
      </c>
    </row>
    <row r="568" spans="1:11" x14ac:dyDescent="0.3">
      <c r="A568" t="s">
        <v>3</v>
      </c>
      <c r="B568" t="s">
        <v>2</v>
      </c>
      <c r="C568" t="s">
        <v>13</v>
      </c>
      <c r="D568">
        <v>2571</v>
      </c>
      <c r="E568">
        <v>350</v>
      </c>
      <c r="F568">
        <v>899850</v>
      </c>
      <c r="G568">
        <v>70200</v>
      </c>
      <c r="H568">
        <v>829650</v>
      </c>
      <c r="I568" s="19">
        <v>44958</v>
      </c>
      <c r="J568" t="s">
        <v>8</v>
      </c>
      <c r="K568">
        <v>2023</v>
      </c>
    </row>
    <row r="569" spans="1:11" x14ac:dyDescent="0.3">
      <c r="A569" t="s">
        <v>16</v>
      </c>
      <c r="B569" t="s">
        <v>15</v>
      </c>
      <c r="C569" t="s">
        <v>13</v>
      </c>
      <c r="D569">
        <v>1661</v>
      </c>
      <c r="E569">
        <v>7</v>
      </c>
      <c r="F569">
        <v>11627</v>
      </c>
      <c r="G569">
        <v>17107.5</v>
      </c>
      <c r="H569">
        <v>-5480.5</v>
      </c>
      <c r="I569" s="19">
        <v>45108</v>
      </c>
      <c r="J569" t="s">
        <v>20</v>
      </c>
      <c r="K569">
        <v>2023</v>
      </c>
    </row>
    <row r="570" spans="1:11" x14ac:dyDescent="0.3">
      <c r="A570" t="s">
        <v>7</v>
      </c>
      <c r="B570" t="s">
        <v>6</v>
      </c>
      <c r="C570" t="s">
        <v>13</v>
      </c>
      <c r="D570">
        <v>4474</v>
      </c>
      <c r="E570">
        <v>7</v>
      </c>
      <c r="F570">
        <v>31318</v>
      </c>
      <c r="G570">
        <v>13670</v>
      </c>
      <c r="H570">
        <v>17648</v>
      </c>
      <c r="I570" s="19">
        <v>45200</v>
      </c>
      <c r="J570" t="s">
        <v>12</v>
      </c>
      <c r="K570">
        <v>2023</v>
      </c>
    </row>
    <row r="571" spans="1:11" x14ac:dyDescent="0.3">
      <c r="A571" t="s">
        <v>3</v>
      </c>
      <c r="B571" t="s">
        <v>2</v>
      </c>
      <c r="C571" t="s">
        <v>13</v>
      </c>
      <c r="D571">
        <v>833</v>
      </c>
      <c r="E571">
        <v>15</v>
      </c>
      <c r="F571">
        <v>12495</v>
      </c>
      <c r="G571">
        <v>25480</v>
      </c>
      <c r="H571">
        <v>-12985</v>
      </c>
      <c r="I571" s="19">
        <v>44866</v>
      </c>
      <c r="J571" t="s">
        <v>18</v>
      </c>
      <c r="K571">
        <v>2022</v>
      </c>
    </row>
    <row r="572" spans="1:11" x14ac:dyDescent="0.3">
      <c r="A572" t="s">
        <v>16</v>
      </c>
      <c r="B572" t="s">
        <v>15</v>
      </c>
      <c r="C572" t="s">
        <v>24</v>
      </c>
      <c r="D572">
        <v>674</v>
      </c>
      <c r="E572">
        <v>20</v>
      </c>
      <c r="F572">
        <v>13480</v>
      </c>
      <c r="G572">
        <v>25215</v>
      </c>
      <c r="H572">
        <v>-11735</v>
      </c>
      <c r="I572" s="19">
        <v>44927</v>
      </c>
      <c r="J572" t="s">
        <v>25</v>
      </c>
      <c r="K572">
        <v>2023</v>
      </c>
    </row>
    <row r="573" spans="1:11" x14ac:dyDescent="0.3">
      <c r="A573" t="s">
        <v>11</v>
      </c>
      <c r="B573" t="s">
        <v>10</v>
      </c>
      <c r="C573" t="s">
        <v>9</v>
      </c>
      <c r="D573">
        <v>778</v>
      </c>
      <c r="E573">
        <v>12</v>
      </c>
      <c r="F573">
        <v>9336</v>
      </c>
      <c r="G573">
        <v>7983</v>
      </c>
      <c r="H573">
        <v>1353</v>
      </c>
      <c r="I573" s="19">
        <v>45047</v>
      </c>
      <c r="J573" t="s">
        <v>0</v>
      </c>
      <c r="K573">
        <v>2023</v>
      </c>
    </row>
    <row r="574" spans="1:11" x14ac:dyDescent="0.3">
      <c r="A574" t="s">
        <v>19</v>
      </c>
      <c r="B574" t="s">
        <v>6</v>
      </c>
      <c r="C574" t="s">
        <v>5</v>
      </c>
      <c r="D574">
        <v>1457</v>
      </c>
      <c r="E574">
        <v>20</v>
      </c>
      <c r="F574">
        <v>29140</v>
      </c>
      <c r="G574">
        <v>15310</v>
      </c>
      <c r="H574">
        <v>13830</v>
      </c>
      <c r="I574" s="19">
        <v>45261</v>
      </c>
      <c r="J574" t="s">
        <v>17</v>
      </c>
      <c r="K574">
        <v>2023</v>
      </c>
    </row>
    <row r="575" spans="1:11" x14ac:dyDescent="0.3">
      <c r="A575" t="s">
        <v>16</v>
      </c>
      <c r="B575" t="s">
        <v>15</v>
      </c>
      <c r="C575" t="s">
        <v>1</v>
      </c>
      <c r="D575">
        <v>3158</v>
      </c>
      <c r="E575">
        <v>7</v>
      </c>
      <c r="F575">
        <v>22106</v>
      </c>
      <c r="G575">
        <v>7455</v>
      </c>
      <c r="H575">
        <v>14651</v>
      </c>
      <c r="I575" s="19">
        <v>44986</v>
      </c>
      <c r="J575" t="s">
        <v>14</v>
      </c>
      <c r="K575">
        <v>2023</v>
      </c>
    </row>
    <row r="576" spans="1:11" x14ac:dyDescent="0.3">
      <c r="A576" t="s">
        <v>19</v>
      </c>
      <c r="B576" t="s">
        <v>6</v>
      </c>
      <c r="C576" t="s">
        <v>1</v>
      </c>
      <c r="D576">
        <v>4095</v>
      </c>
      <c r="E576">
        <v>20</v>
      </c>
      <c r="F576">
        <v>81900</v>
      </c>
      <c r="G576">
        <v>15310</v>
      </c>
      <c r="H576">
        <v>66590</v>
      </c>
      <c r="I576" s="19">
        <v>45261</v>
      </c>
      <c r="J576" t="s">
        <v>17</v>
      </c>
      <c r="K576">
        <v>2023</v>
      </c>
    </row>
    <row r="577" spans="1:11" x14ac:dyDescent="0.3">
      <c r="A577" t="s">
        <v>7</v>
      </c>
      <c r="B577" t="s">
        <v>6</v>
      </c>
      <c r="C577" t="s">
        <v>13</v>
      </c>
      <c r="D577">
        <v>3170</v>
      </c>
      <c r="E577">
        <v>12</v>
      </c>
      <c r="F577">
        <v>38040</v>
      </c>
      <c r="G577">
        <v>8283</v>
      </c>
      <c r="H577">
        <v>29757</v>
      </c>
      <c r="I577" s="19">
        <v>44805</v>
      </c>
      <c r="J577" t="s">
        <v>22</v>
      </c>
      <c r="K577">
        <v>2022</v>
      </c>
    </row>
    <row r="578" spans="1:11" x14ac:dyDescent="0.3">
      <c r="A578" t="s">
        <v>3</v>
      </c>
      <c r="B578" t="s">
        <v>2</v>
      </c>
      <c r="C578" t="s">
        <v>24</v>
      </c>
      <c r="D578">
        <v>493</v>
      </c>
      <c r="E578">
        <v>15</v>
      </c>
      <c r="F578">
        <v>7395</v>
      </c>
      <c r="G578">
        <v>25670</v>
      </c>
      <c r="H578">
        <v>-18275</v>
      </c>
      <c r="I578" s="19">
        <v>45078</v>
      </c>
      <c r="J578" t="s">
        <v>26</v>
      </c>
      <c r="K578">
        <v>2023</v>
      </c>
    </row>
    <row r="579" spans="1:11" x14ac:dyDescent="0.3">
      <c r="A579" t="s">
        <v>3</v>
      </c>
      <c r="B579" t="s">
        <v>2</v>
      </c>
      <c r="C579" t="s">
        <v>1</v>
      </c>
      <c r="D579">
        <v>3286</v>
      </c>
      <c r="E579">
        <v>15</v>
      </c>
      <c r="F579">
        <v>49290</v>
      </c>
      <c r="G579">
        <v>25670</v>
      </c>
      <c r="H579">
        <v>23620</v>
      </c>
      <c r="I579" s="19">
        <v>45078</v>
      </c>
      <c r="J579" t="s">
        <v>26</v>
      </c>
      <c r="K579">
        <v>2023</v>
      </c>
    </row>
    <row r="580" spans="1:11" x14ac:dyDescent="0.3">
      <c r="A580" t="s">
        <v>7</v>
      </c>
      <c r="B580" t="s">
        <v>6</v>
      </c>
      <c r="C580" t="s">
        <v>24</v>
      </c>
      <c r="D580">
        <v>3563</v>
      </c>
      <c r="E580">
        <v>350</v>
      </c>
      <c r="F580">
        <v>1247050</v>
      </c>
      <c r="G580">
        <v>239980</v>
      </c>
      <c r="H580">
        <v>1007070</v>
      </c>
      <c r="I580" s="19">
        <v>44986</v>
      </c>
      <c r="J580" t="s">
        <v>14</v>
      </c>
      <c r="K580">
        <v>2023</v>
      </c>
    </row>
    <row r="581" spans="1:11" x14ac:dyDescent="0.3">
      <c r="A581" t="s">
        <v>16</v>
      </c>
      <c r="B581" t="s">
        <v>15</v>
      </c>
      <c r="C581" t="s">
        <v>24</v>
      </c>
      <c r="D581">
        <v>4109</v>
      </c>
      <c r="E581">
        <v>350</v>
      </c>
      <c r="F581">
        <v>1438150</v>
      </c>
      <c r="G581">
        <v>465400</v>
      </c>
      <c r="H581">
        <v>972750</v>
      </c>
      <c r="I581" s="19">
        <v>44986</v>
      </c>
      <c r="J581" t="s">
        <v>14</v>
      </c>
      <c r="K581">
        <v>2023</v>
      </c>
    </row>
    <row r="582" spans="1:11" x14ac:dyDescent="0.3">
      <c r="A582" t="s">
        <v>19</v>
      </c>
      <c r="B582" t="s">
        <v>6</v>
      </c>
      <c r="C582" t="s">
        <v>24</v>
      </c>
      <c r="D582">
        <v>3653</v>
      </c>
      <c r="E582">
        <v>20</v>
      </c>
      <c r="F582">
        <v>73060</v>
      </c>
      <c r="G582">
        <v>4420</v>
      </c>
      <c r="H582">
        <v>68640</v>
      </c>
      <c r="I582" s="19">
        <v>44805</v>
      </c>
      <c r="J582" t="s">
        <v>22</v>
      </c>
      <c r="K582">
        <v>2022</v>
      </c>
    </row>
    <row r="583" spans="1:11" x14ac:dyDescent="0.3">
      <c r="A583" t="s">
        <v>3</v>
      </c>
      <c r="B583" t="s">
        <v>2</v>
      </c>
      <c r="C583" t="s">
        <v>9</v>
      </c>
      <c r="D583">
        <v>2203</v>
      </c>
      <c r="E583">
        <v>350</v>
      </c>
      <c r="F583">
        <v>771050</v>
      </c>
      <c r="G583">
        <v>255450</v>
      </c>
      <c r="H583">
        <v>515600</v>
      </c>
      <c r="I583" s="19">
        <v>44927</v>
      </c>
      <c r="J583" t="s">
        <v>25</v>
      </c>
      <c r="K583">
        <v>2023</v>
      </c>
    </row>
    <row r="584" spans="1:11" x14ac:dyDescent="0.3">
      <c r="A584" t="s">
        <v>3</v>
      </c>
      <c r="B584" t="s">
        <v>2</v>
      </c>
      <c r="C584" t="s">
        <v>9</v>
      </c>
      <c r="D584">
        <v>2924</v>
      </c>
      <c r="E584">
        <v>7</v>
      </c>
      <c r="F584">
        <v>20468</v>
      </c>
      <c r="G584">
        <v>6490</v>
      </c>
      <c r="H584">
        <v>13978</v>
      </c>
      <c r="I584" s="19">
        <v>44958</v>
      </c>
      <c r="J584" t="s">
        <v>8</v>
      </c>
      <c r="K584">
        <v>2023</v>
      </c>
    </row>
    <row r="585" spans="1:11" x14ac:dyDescent="0.3">
      <c r="A585" t="s">
        <v>11</v>
      </c>
      <c r="B585" t="s">
        <v>10</v>
      </c>
      <c r="C585" t="s">
        <v>9</v>
      </c>
      <c r="D585">
        <v>2650</v>
      </c>
      <c r="E585">
        <v>12</v>
      </c>
      <c r="F585">
        <v>31800</v>
      </c>
      <c r="G585">
        <v>1812</v>
      </c>
      <c r="H585">
        <v>29988</v>
      </c>
      <c r="I585" s="19">
        <v>45078</v>
      </c>
      <c r="J585" t="s">
        <v>26</v>
      </c>
      <c r="K585">
        <v>2023</v>
      </c>
    </row>
    <row r="586" spans="1:11" x14ac:dyDescent="0.3">
      <c r="A586" t="s">
        <v>11</v>
      </c>
      <c r="B586" t="s">
        <v>10</v>
      </c>
      <c r="C586" t="s">
        <v>9</v>
      </c>
      <c r="D586">
        <v>1194</v>
      </c>
      <c r="E586">
        <v>20</v>
      </c>
      <c r="F586">
        <v>23880</v>
      </c>
      <c r="G586">
        <v>22550</v>
      </c>
      <c r="H586">
        <v>1330</v>
      </c>
      <c r="I586" s="19">
        <v>45108</v>
      </c>
      <c r="J586" t="s">
        <v>20</v>
      </c>
      <c r="K586">
        <v>2023</v>
      </c>
    </row>
    <row r="587" spans="1:11" x14ac:dyDescent="0.3">
      <c r="A587" t="s">
        <v>7</v>
      </c>
      <c r="B587" t="s">
        <v>6</v>
      </c>
      <c r="C587" t="s">
        <v>9</v>
      </c>
      <c r="D587">
        <v>3366</v>
      </c>
      <c r="E587">
        <v>20</v>
      </c>
      <c r="F587">
        <v>67320</v>
      </c>
      <c r="G587">
        <v>12490</v>
      </c>
      <c r="H587">
        <v>54830</v>
      </c>
      <c r="I587" s="19">
        <v>45200</v>
      </c>
      <c r="J587" t="s">
        <v>12</v>
      </c>
      <c r="K587">
        <v>2023</v>
      </c>
    </row>
    <row r="588" spans="1:11" x14ac:dyDescent="0.3">
      <c r="A588" t="s">
        <v>3</v>
      </c>
      <c r="B588" t="s">
        <v>2</v>
      </c>
      <c r="C588" t="s">
        <v>5</v>
      </c>
      <c r="D588">
        <v>1325</v>
      </c>
      <c r="E588">
        <v>7</v>
      </c>
      <c r="F588">
        <v>9275</v>
      </c>
      <c r="G588">
        <v>7192.5</v>
      </c>
      <c r="H588">
        <v>2082.5</v>
      </c>
      <c r="I588" s="19">
        <v>44927</v>
      </c>
      <c r="J588" t="s">
        <v>25</v>
      </c>
      <c r="K588">
        <v>2023</v>
      </c>
    </row>
    <row r="589" spans="1:11" x14ac:dyDescent="0.3">
      <c r="A589" t="s">
        <v>19</v>
      </c>
      <c r="B589" t="s">
        <v>6</v>
      </c>
      <c r="C589" t="s">
        <v>5</v>
      </c>
      <c r="D589">
        <v>4243</v>
      </c>
      <c r="E589">
        <v>300</v>
      </c>
      <c r="F589">
        <v>1272900</v>
      </c>
      <c r="G589">
        <v>201750</v>
      </c>
      <c r="H589">
        <v>1071150</v>
      </c>
      <c r="I589" s="19">
        <v>44927</v>
      </c>
      <c r="J589" t="s">
        <v>25</v>
      </c>
      <c r="K589">
        <v>2023</v>
      </c>
    </row>
    <row r="590" spans="1:11" x14ac:dyDescent="0.3">
      <c r="A590" t="s">
        <v>3</v>
      </c>
      <c r="B590" t="s">
        <v>2</v>
      </c>
      <c r="C590" t="s">
        <v>5</v>
      </c>
      <c r="D590">
        <v>2887</v>
      </c>
      <c r="E590">
        <v>20</v>
      </c>
      <c r="F590">
        <v>57740</v>
      </c>
      <c r="G590">
        <v>26410</v>
      </c>
      <c r="H590">
        <v>31330</v>
      </c>
      <c r="I590" s="19">
        <v>44958</v>
      </c>
      <c r="J590" t="s">
        <v>8</v>
      </c>
      <c r="K590">
        <v>2023</v>
      </c>
    </row>
    <row r="591" spans="1:11" x14ac:dyDescent="0.3">
      <c r="A591" t="s">
        <v>19</v>
      </c>
      <c r="B591" t="s">
        <v>6</v>
      </c>
      <c r="C591" t="s">
        <v>5</v>
      </c>
      <c r="D591">
        <v>3839</v>
      </c>
      <c r="E591">
        <v>20</v>
      </c>
      <c r="F591">
        <v>76780</v>
      </c>
      <c r="G591">
        <v>27080</v>
      </c>
      <c r="H591">
        <v>49700</v>
      </c>
      <c r="I591" s="19">
        <v>44958</v>
      </c>
      <c r="J591" t="s">
        <v>8</v>
      </c>
      <c r="K591">
        <v>2023</v>
      </c>
    </row>
    <row r="592" spans="1:11" x14ac:dyDescent="0.3">
      <c r="A592" t="s">
        <v>7</v>
      </c>
      <c r="B592" t="s">
        <v>6</v>
      </c>
      <c r="C592" t="s">
        <v>5</v>
      </c>
      <c r="D592">
        <v>1863</v>
      </c>
      <c r="E592">
        <v>350</v>
      </c>
      <c r="F592">
        <v>652050</v>
      </c>
      <c r="G592">
        <v>684320</v>
      </c>
      <c r="H592">
        <v>-32270</v>
      </c>
      <c r="I592" s="19">
        <v>45078</v>
      </c>
      <c r="J592" t="s">
        <v>26</v>
      </c>
      <c r="K592">
        <v>2023</v>
      </c>
    </row>
    <row r="593" spans="1:11" x14ac:dyDescent="0.3">
      <c r="A593" t="s">
        <v>7</v>
      </c>
      <c r="B593" t="s">
        <v>6</v>
      </c>
      <c r="C593" t="s">
        <v>5</v>
      </c>
      <c r="D593">
        <v>2858</v>
      </c>
      <c r="E593">
        <v>125</v>
      </c>
      <c r="F593">
        <v>357250</v>
      </c>
      <c r="G593">
        <v>189960</v>
      </c>
      <c r="H593">
        <v>167290</v>
      </c>
      <c r="I593" s="19">
        <v>45078</v>
      </c>
      <c r="J593" t="s">
        <v>26</v>
      </c>
      <c r="K593">
        <v>2023</v>
      </c>
    </row>
    <row r="594" spans="1:11" x14ac:dyDescent="0.3">
      <c r="A594" t="s">
        <v>11</v>
      </c>
      <c r="B594" t="s">
        <v>10</v>
      </c>
      <c r="C594" t="s">
        <v>5</v>
      </c>
      <c r="D594">
        <v>2868</v>
      </c>
      <c r="E594">
        <v>12</v>
      </c>
      <c r="F594">
        <v>34416</v>
      </c>
      <c r="G594">
        <v>1713</v>
      </c>
      <c r="H594">
        <v>32703</v>
      </c>
      <c r="I594" s="19">
        <v>45108</v>
      </c>
      <c r="J594" t="s">
        <v>20</v>
      </c>
      <c r="K594">
        <v>2023</v>
      </c>
    </row>
    <row r="595" spans="1:11" x14ac:dyDescent="0.3">
      <c r="A595" t="s">
        <v>16</v>
      </c>
      <c r="B595" t="s">
        <v>15</v>
      </c>
      <c r="C595" t="s">
        <v>5</v>
      </c>
      <c r="D595">
        <v>3805</v>
      </c>
      <c r="E595">
        <v>7</v>
      </c>
      <c r="F595">
        <v>26635</v>
      </c>
      <c r="G595">
        <v>13480</v>
      </c>
      <c r="H595">
        <v>13155</v>
      </c>
      <c r="I595" s="19">
        <v>45139</v>
      </c>
      <c r="J595" t="s">
        <v>23</v>
      </c>
      <c r="K595">
        <v>2023</v>
      </c>
    </row>
    <row r="596" spans="1:11" x14ac:dyDescent="0.3">
      <c r="A596" t="s">
        <v>7</v>
      </c>
      <c r="B596" t="s">
        <v>6</v>
      </c>
      <c r="C596" t="s">
        <v>5</v>
      </c>
      <c r="D596">
        <v>3914</v>
      </c>
      <c r="E596">
        <v>15</v>
      </c>
      <c r="F596">
        <v>58710</v>
      </c>
      <c r="G596">
        <v>15650</v>
      </c>
      <c r="H596">
        <v>43060</v>
      </c>
      <c r="I596" s="19">
        <v>45200</v>
      </c>
      <c r="J596" t="s">
        <v>12</v>
      </c>
      <c r="K596">
        <v>2023</v>
      </c>
    </row>
    <row r="597" spans="1:11" x14ac:dyDescent="0.3">
      <c r="A597" t="s">
        <v>7</v>
      </c>
      <c r="B597" t="s">
        <v>6</v>
      </c>
      <c r="C597" t="s">
        <v>5</v>
      </c>
      <c r="D597">
        <v>524</v>
      </c>
      <c r="E597">
        <v>20</v>
      </c>
      <c r="F597">
        <v>10480</v>
      </c>
      <c r="G597">
        <v>12490</v>
      </c>
      <c r="H597">
        <v>-2010</v>
      </c>
      <c r="I597" s="19">
        <v>45200</v>
      </c>
      <c r="J597" t="s">
        <v>12</v>
      </c>
      <c r="K597">
        <v>2023</v>
      </c>
    </row>
    <row r="598" spans="1:11" x14ac:dyDescent="0.3">
      <c r="A598" t="s">
        <v>19</v>
      </c>
      <c r="B598" t="s">
        <v>6</v>
      </c>
      <c r="C598" t="s">
        <v>5</v>
      </c>
      <c r="D598">
        <v>3095</v>
      </c>
      <c r="E598">
        <v>350</v>
      </c>
      <c r="F598">
        <v>1083250</v>
      </c>
      <c r="G598">
        <v>92820</v>
      </c>
      <c r="H598">
        <v>990430</v>
      </c>
      <c r="I598" s="19">
        <v>45231</v>
      </c>
      <c r="J598" t="s">
        <v>18</v>
      </c>
      <c r="K598">
        <v>2023</v>
      </c>
    </row>
    <row r="599" spans="1:11" x14ac:dyDescent="0.3">
      <c r="A599" t="s">
        <v>19</v>
      </c>
      <c r="B599" t="s">
        <v>6</v>
      </c>
      <c r="C599" t="s">
        <v>5</v>
      </c>
      <c r="D599">
        <v>2410</v>
      </c>
      <c r="E599">
        <v>12</v>
      </c>
      <c r="F599">
        <v>28920</v>
      </c>
      <c r="G599">
        <v>3039</v>
      </c>
      <c r="H599">
        <v>25881</v>
      </c>
      <c r="I599" s="19">
        <v>45261</v>
      </c>
      <c r="J599" t="s">
        <v>17</v>
      </c>
      <c r="K599">
        <v>2023</v>
      </c>
    </row>
    <row r="600" spans="1:11" x14ac:dyDescent="0.3">
      <c r="A600" t="s">
        <v>16</v>
      </c>
      <c r="B600" t="s">
        <v>15</v>
      </c>
      <c r="C600" t="s">
        <v>21</v>
      </c>
      <c r="D600">
        <v>4263</v>
      </c>
      <c r="E600">
        <v>15</v>
      </c>
      <c r="F600">
        <v>63945</v>
      </c>
      <c r="G600">
        <v>39975</v>
      </c>
      <c r="H600">
        <v>23970</v>
      </c>
      <c r="I600" s="19">
        <v>44927</v>
      </c>
      <c r="J600" t="s">
        <v>25</v>
      </c>
      <c r="K600">
        <v>2023</v>
      </c>
    </row>
    <row r="601" spans="1:11" x14ac:dyDescent="0.3">
      <c r="A601" t="s">
        <v>7</v>
      </c>
      <c r="B601" t="s">
        <v>6</v>
      </c>
      <c r="C601" t="s">
        <v>21</v>
      </c>
      <c r="D601">
        <v>2239</v>
      </c>
      <c r="E601">
        <v>350</v>
      </c>
      <c r="F601">
        <v>783650</v>
      </c>
      <c r="G601">
        <v>684320</v>
      </c>
      <c r="H601">
        <v>99330</v>
      </c>
      <c r="I601" s="19">
        <v>45078</v>
      </c>
      <c r="J601" t="s">
        <v>26</v>
      </c>
      <c r="K601">
        <v>2023</v>
      </c>
    </row>
    <row r="602" spans="1:11" x14ac:dyDescent="0.3">
      <c r="A602" t="s">
        <v>16</v>
      </c>
      <c r="B602" t="s">
        <v>15</v>
      </c>
      <c r="C602" t="s">
        <v>21</v>
      </c>
      <c r="D602">
        <v>569</v>
      </c>
      <c r="E602">
        <v>7</v>
      </c>
      <c r="F602">
        <v>3983</v>
      </c>
      <c r="G602">
        <v>5950</v>
      </c>
      <c r="H602">
        <v>-1967</v>
      </c>
      <c r="I602" s="19">
        <v>45078</v>
      </c>
      <c r="J602" t="s">
        <v>26</v>
      </c>
      <c r="K602">
        <v>2023</v>
      </c>
    </row>
    <row r="603" spans="1:11" x14ac:dyDescent="0.3">
      <c r="A603" t="s">
        <v>11</v>
      </c>
      <c r="B603" t="s">
        <v>10</v>
      </c>
      <c r="C603" t="s">
        <v>21</v>
      </c>
      <c r="D603">
        <v>3889</v>
      </c>
      <c r="E603">
        <v>12</v>
      </c>
      <c r="F603">
        <v>46668</v>
      </c>
      <c r="G603">
        <v>1812</v>
      </c>
      <c r="H603">
        <v>44856</v>
      </c>
      <c r="I603" s="19">
        <v>45078</v>
      </c>
      <c r="J603" t="s">
        <v>26</v>
      </c>
      <c r="K603">
        <v>2023</v>
      </c>
    </row>
    <row r="604" spans="1:11" x14ac:dyDescent="0.3">
      <c r="A604" t="s">
        <v>19</v>
      </c>
      <c r="B604" t="s">
        <v>6</v>
      </c>
      <c r="C604" t="s">
        <v>21</v>
      </c>
      <c r="D604">
        <v>1378</v>
      </c>
      <c r="E604">
        <v>15</v>
      </c>
      <c r="F604">
        <v>20670</v>
      </c>
      <c r="G604">
        <v>6600</v>
      </c>
      <c r="H604">
        <v>14070</v>
      </c>
      <c r="I604" s="19">
        <v>44805</v>
      </c>
      <c r="J604" t="s">
        <v>22</v>
      </c>
      <c r="K604">
        <v>2022</v>
      </c>
    </row>
    <row r="605" spans="1:11" x14ac:dyDescent="0.3">
      <c r="A605" t="s">
        <v>11</v>
      </c>
      <c r="B605" t="s">
        <v>10</v>
      </c>
      <c r="C605" t="s">
        <v>21</v>
      </c>
      <c r="D605">
        <v>2253</v>
      </c>
      <c r="E605">
        <v>12</v>
      </c>
      <c r="F605">
        <v>27036</v>
      </c>
      <c r="G605">
        <v>1230</v>
      </c>
      <c r="H605">
        <v>25806</v>
      </c>
      <c r="I605" s="19">
        <v>45200</v>
      </c>
      <c r="J605" t="s">
        <v>12</v>
      </c>
      <c r="K605">
        <v>2023</v>
      </c>
    </row>
    <row r="606" spans="1:11" x14ac:dyDescent="0.3">
      <c r="A606" t="s">
        <v>11</v>
      </c>
      <c r="B606" t="s">
        <v>10</v>
      </c>
      <c r="C606" t="s">
        <v>21</v>
      </c>
      <c r="D606">
        <v>3202</v>
      </c>
      <c r="E606">
        <v>300</v>
      </c>
      <c r="F606">
        <v>960600</v>
      </c>
      <c r="G606">
        <v>651250</v>
      </c>
      <c r="H606">
        <v>309350</v>
      </c>
      <c r="I606" s="19">
        <v>44866</v>
      </c>
      <c r="J606" t="s">
        <v>18</v>
      </c>
      <c r="K606">
        <v>2022</v>
      </c>
    </row>
    <row r="607" spans="1:11" x14ac:dyDescent="0.3">
      <c r="A607" t="s">
        <v>19</v>
      </c>
      <c r="B607" t="s">
        <v>6</v>
      </c>
      <c r="C607" t="s">
        <v>21</v>
      </c>
      <c r="D607">
        <v>3835</v>
      </c>
      <c r="E607">
        <v>12</v>
      </c>
      <c r="F607">
        <v>46020</v>
      </c>
      <c r="G607">
        <v>3039</v>
      </c>
      <c r="H607">
        <v>42981</v>
      </c>
      <c r="I607" s="19">
        <v>45261</v>
      </c>
      <c r="J607" t="s">
        <v>17</v>
      </c>
      <c r="K607">
        <v>2023</v>
      </c>
    </row>
    <row r="608" spans="1:11" x14ac:dyDescent="0.3">
      <c r="A608" t="s">
        <v>7</v>
      </c>
      <c r="B608" t="s">
        <v>6</v>
      </c>
      <c r="C608" t="s">
        <v>1</v>
      </c>
      <c r="D608">
        <v>2487</v>
      </c>
      <c r="E608">
        <v>125</v>
      </c>
      <c r="F608">
        <v>310875</v>
      </c>
      <c r="G608">
        <v>189960</v>
      </c>
      <c r="H608">
        <v>120915</v>
      </c>
      <c r="I608" s="19">
        <v>45078</v>
      </c>
      <c r="J608" t="s">
        <v>26</v>
      </c>
      <c r="K608">
        <v>2023</v>
      </c>
    </row>
    <row r="609" spans="1:11" x14ac:dyDescent="0.3">
      <c r="A609" t="s">
        <v>7</v>
      </c>
      <c r="B609" t="s">
        <v>6</v>
      </c>
      <c r="C609" t="s">
        <v>1</v>
      </c>
      <c r="D609">
        <v>4428</v>
      </c>
      <c r="E609">
        <v>15</v>
      </c>
      <c r="F609">
        <v>66420</v>
      </c>
      <c r="G609">
        <v>15650</v>
      </c>
      <c r="H609">
        <v>50770</v>
      </c>
      <c r="I609" s="19">
        <v>45200</v>
      </c>
      <c r="J609" t="s">
        <v>12</v>
      </c>
      <c r="K609">
        <v>2023</v>
      </c>
    </row>
    <row r="610" spans="1:11" x14ac:dyDescent="0.3">
      <c r="A610" t="s">
        <v>7</v>
      </c>
      <c r="B610" t="s">
        <v>6</v>
      </c>
      <c r="C610" t="s">
        <v>13</v>
      </c>
      <c r="D610">
        <v>1200</v>
      </c>
      <c r="E610">
        <v>125</v>
      </c>
      <c r="F610">
        <v>150000</v>
      </c>
      <c r="G610">
        <v>199080</v>
      </c>
      <c r="H610">
        <v>-49080</v>
      </c>
      <c r="I610" s="19">
        <v>44927</v>
      </c>
      <c r="J610" t="s">
        <v>25</v>
      </c>
      <c r="K610">
        <v>2023</v>
      </c>
    </row>
    <row r="611" spans="1:11" x14ac:dyDescent="0.3">
      <c r="A611" t="s">
        <v>16</v>
      </c>
      <c r="B611" t="s">
        <v>15</v>
      </c>
      <c r="C611" t="s">
        <v>13</v>
      </c>
      <c r="D611">
        <v>2953</v>
      </c>
      <c r="E611">
        <v>7</v>
      </c>
      <c r="F611">
        <v>20671</v>
      </c>
      <c r="G611">
        <v>5950</v>
      </c>
      <c r="H611">
        <v>14721</v>
      </c>
      <c r="I611" s="19">
        <v>45078</v>
      </c>
      <c r="J611" t="s">
        <v>26</v>
      </c>
      <c r="K611">
        <v>2023</v>
      </c>
    </row>
    <row r="612" spans="1:11" x14ac:dyDescent="0.3">
      <c r="A612" t="s">
        <v>11</v>
      </c>
      <c r="B612" t="s">
        <v>10</v>
      </c>
      <c r="C612" t="s">
        <v>13</v>
      </c>
      <c r="D612">
        <v>1453</v>
      </c>
      <c r="E612">
        <v>12</v>
      </c>
      <c r="F612">
        <v>17436</v>
      </c>
      <c r="G612">
        <v>1230</v>
      </c>
      <c r="H612">
        <v>16206</v>
      </c>
      <c r="I612" s="19">
        <v>45200</v>
      </c>
      <c r="J612" t="s">
        <v>12</v>
      </c>
      <c r="K612">
        <v>2023</v>
      </c>
    </row>
    <row r="613" spans="1:11" x14ac:dyDescent="0.3">
      <c r="A613" t="s">
        <v>19</v>
      </c>
      <c r="B613" t="s">
        <v>6</v>
      </c>
      <c r="C613" t="s">
        <v>13</v>
      </c>
      <c r="D613">
        <v>865</v>
      </c>
      <c r="E613">
        <v>12</v>
      </c>
      <c r="F613">
        <v>10380</v>
      </c>
      <c r="G613">
        <v>5310</v>
      </c>
      <c r="H613">
        <v>5070</v>
      </c>
      <c r="I613" s="19">
        <v>44896</v>
      </c>
      <c r="J613" t="s">
        <v>17</v>
      </c>
      <c r="K613">
        <v>2022</v>
      </c>
    </row>
    <row r="614" spans="1:11" x14ac:dyDescent="0.3">
      <c r="A614" t="s">
        <v>11</v>
      </c>
      <c r="B614" t="s">
        <v>10</v>
      </c>
      <c r="C614" t="s">
        <v>24</v>
      </c>
      <c r="D614">
        <v>1072</v>
      </c>
      <c r="E614">
        <v>20</v>
      </c>
      <c r="F614">
        <v>21440</v>
      </c>
      <c r="G614">
        <v>25790</v>
      </c>
      <c r="H614">
        <v>-4350</v>
      </c>
      <c r="I614" s="19">
        <v>45017</v>
      </c>
      <c r="J614" t="s">
        <v>4</v>
      </c>
      <c r="K614">
        <v>2023</v>
      </c>
    </row>
    <row r="615" spans="1:11" x14ac:dyDescent="0.3">
      <c r="A615" t="s">
        <v>3</v>
      </c>
      <c r="B615" t="s">
        <v>2</v>
      </c>
      <c r="C615" t="s">
        <v>24</v>
      </c>
      <c r="D615">
        <v>1737</v>
      </c>
      <c r="E615">
        <v>20</v>
      </c>
      <c r="F615">
        <v>34740</v>
      </c>
      <c r="G615">
        <v>17430</v>
      </c>
      <c r="H615">
        <v>17310</v>
      </c>
      <c r="I615" s="19">
        <v>45047</v>
      </c>
      <c r="J615" t="s">
        <v>0</v>
      </c>
      <c r="K615">
        <v>2023</v>
      </c>
    </row>
    <row r="616" spans="1:11" x14ac:dyDescent="0.3">
      <c r="A616" t="s">
        <v>3</v>
      </c>
      <c r="B616" t="s">
        <v>2</v>
      </c>
      <c r="C616" t="s">
        <v>24</v>
      </c>
      <c r="D616">
        <v>1535</v>
      </c>
      <c r="E616">
        <v>7</v>
      </c>
      <c r="F616">
        <v>10745</v>
      </c>
      <c r="G616">
        <v>14980</v>
      </c>
      <c r="H616">
        <v>-4235</v>
      </c>
      <c r="I616" s="19">
        <v>44835</v>
      </c>
      <c r="J616" t="s">
        <v>12</v>
      </c>
      <c r="K616">
        <v>2022</v>
      </c>
    </row>
    <row r="617" spans="1:11" x14ac:dyDescent="0.3">
      <c r="A617" t="s">
        <v>19</v>
      </c>
      <c r="B617" t="s">
        <v>6</v>
      </c>
      <c r="C617" t="s">
        <v>24</v>
      </c>
      <c r="D617">
        <v>2532</v>
      </c>
      <c r="E617">
        <v>7</v>
      </c>
      <c r="F617">
        <v>17724</v>
      </c>
      <c r="G617">
        <v>1400</v>
      </c>
      <c r="H617">
        <v>16324</v>
      </c>
      <c r="I617" s="19">
        <v>45261</v>
      </c>
      <c r="J617" t="s">
        <v>17</v>
      </c>
      <c r="K617">
        <v>2023</v>
      </c>
    </row>
    <row r="618" spans="1:11" x14ac:dyDescent="0.3">
      <c r="A618" t="s">
        <v>16</v>
      </c>
      <c r="B618" t="s">
        <v>15</v>
      </c>
      <c r="C618" t="s">
        <v>9</v>
      </c>
      <c r="D618">
        <v>1765</v>
      </c>
      <c r="E618">
        <v>7</v>
      </c>
      <c r="F618">
        <v>12355</v>
      </c>
      <c r="G618">
        <v>1465</v>
      </c>
      <c r="H618">
        <v>10890</v>
      </c>
      <c r="I618" s="19">
        <v>44958</v>
      </c>
      <c r="J618" t="s">
        <v>8</v>
      </c>
      <c r="K618">
        <v>2023</v>
      </c>
    </row>
    <row r="619" spans="1:11" x14ac:dyDescent="0.3">
      <c r="A619" t="s">
        <v>3</v>
      </c>
      <c r="B619" t="s">
        <v>2</v>
      </c>
      <c r="C619" t="s">
        <v>9</v>
      </c>
      <c r="D619">
        <v>1567</v>
      </c>
      <c r="E619">
        <v>7</v>
      </c>
      <c r="F619">
        <v>10969</v>
      </c>
      <c r="G619">
        <v>14980</v>
      </c>
      <c r="H619">
        <v>-4011</v>
      </c>
      <c r="I619" s="19">
        <v>44835</v>
      </c>
      <c r="J619" t="s">
        <v>12</v>
      </c>
      <c r="K619">
        <v>2022</v>
      </c>
    </row>
    <row r="620" spans="1:11" x14ac:dyDescent="0.3">
      <c r="A620" t="s">
        <v>19</v>
      </c>
      <c r="B620" t="s">
        <v>6</v>
      </c>
      <c r="C620" t="s">
        <v>5</v>
      </c>
      <c r="D620">
        <v>2640</v>
      </c>
      <c r="E620">
        <v>15</v>
      </c>
      <c r="F620">
        <v>39600</v>
      </c>
      <c r="G620">
        <v>2780</v>
      </c>
      <c r="H620">
        <v>36820</v>
      </c>
      <c r="I620" s="19">
        <v>44958</v>
      </c>
      <c r="J620" t="s">
        <v>8</v>
      </c>
      <c r="K620">
        <v>2023</v>
      </c>
    </row>
    <row r="621" spans="1:11" x14ac:dyDescent="0.3">
      <c r="A621" t="s">
        <v>7</v>
      </c>
      <c r="B621" t="s">
        <v>6</v>
      </c>
      <c r="C621" t="s">
        <v>5</v>
      </c>
      <c r="D621">
        <v>3079</v>
      </c>
      <c r="E621">
        <v>20</v>
      </c>
      <c r="F621">
        <v>61580</v>
      </c>
      <c r="G621">
        <v>24280</v>
      </c>
      <c r="H621">
        <v>37300</v>
      </c>
      <c r="I621" s="19">
        <v>44986</v>
      </c>
      <c r="J621" t="s">
        <v>14</v>
      </c>
      <c r="K621">
        <v>2023</v>
      </c>
    </row>
    <row r="622" spans="1:11" x14ac:dyDescent="0.3">
      <c r="A622" t="s">
        <v>3</v>
      </c>
      <c r="B622" t="s">
        <v>2</v>
      </c>
      <c r="C622" t="s">
        <v>5</v>
      </c>
      <c r="D622">
        <v>4130</v>
      </c>
      <c r="E622">
        <v>15</v>
      </c>
      <c r="F622">
        <v>61950</v>
      </c>
      <c r="G622">
        <v>17670</v>
      </c>
      <c r="H622">
        <v>44280</v>
      </c>
      <c r="I622" s="19">
        <v>45170</v>
      </c>
      <c r="J622" t="s">
        <v>22</v>
      </c>
      <c r="K622">
        <v>2023</v>
      </c>
    </row>
    <row r="623" spans="1:11" x14ac:dyDescent="0.3">
      <c r="A623" t="s">
        <v>16</v>
      </c>
      <c r="B623" t="s">
        <v>15</v>
      </c>
      <c r="C623" t="s">
        <v>5</v>
      </c>
      <c r="D623">
        <v>2938</v>
      </c>
      <c r="E623">
        <v>12</v>
      </c>
      <c r="F623">
        <v>35256</v>
      </c>
      <c r="G623">
        <v>4179</v>
      </c>
      <c r="H623">
        <v>31077</v>
      </c>
      <c r="I623" s="19">
        <v>45200</v>
      </c>
      <c r="J623" t="s">
        <v>12</v>
      </c>
      <c r="K623">
        <v>2023</v>
      </c>
    </row>
    <row r="624" spans="1:11" x14ac:dyDescent="0.3">
      <c r="A624" t="s">
        <v>19</v>
      </c>
      <c r="B624" t="s">
        <v>6</v>
      </c>
      <c r="C624" t="s">
        <v>1</v>
      </c>
      <c r="D624">
        <v>3080</v>
      </c>
      <c r="E624">
        <v>7</v>
      </c>
      <c r="F624">
        <v>21560</v>
      </c>
      <c r="G624">
        <v>1400</v>
      </c>
      <c r="H624">
        <v>20160</v>
      </c>
      <c r="I624" s="19">
        <v>45261</v>
      </c>
      <c r="J624" t="s">
        <v>17</v>
      </c>
      <c r="K624">
        <v>2023</v>
      </c>
    </row>
    <row r="625" spans="1:11" x14ac:dyDescent="0.3">
      <c r="A625" t="s">
        <v>16</v>
      </c>
      <c r="B625" t="s">
        <v>15</v>
      </c>
      <c r="C625" t="s">
        <v>13</v>
      </c>
      <c r="D625">
        <v>1530</v>
      </c>
      <c r="E625">
        <v>12</v>
      </c>
      <c r="F625">
        <v>18360</v>
      </c>
      <c r="G625">
        <v>4179</v>
      </c>
      <c r="H625">
        <v>14181</v>
      </c>
      <c r="I625" s="19">
        <v>45200</v>
      </c>
      <c r="J625" t="s">
        <v>12</v>
      </c>
      <c r="K625">
        <v>2023</v>
      </c>
    </row>
    <row r="626" spans="1:11" x14ac:dyDescent="0.3">
      <c r="A626" t="s">
        <v>3</v>
      </c>
      <c r="B626" t="s">
        <v>2</v>
      </c>
      <c r="C626" t="s">
        <v>13</v>
      </c>
      <c r="D626">
        <v>3537</v>
      </c>
      <c r="E626">
        <v>12</v>
      </c>
      <c r="F626">
        <v>42444</v>
      </c>
      <c r="G626">
        <v>6045</v>
      </c>
      <c r="H626">
        <v>36399</v>
      </c>
      <c r="I626" s="19">
        <v>44896</v>
      </c>
      <c r="J626" t="s">
        <v>17</v>
      </c>
      <c r="K626">
        <v>2022</v>
      </c>
    </row>
    <row r="627" spans="1:11" x14ac:dyDescent="0.3">
      <c r="A627" t="s">
        <v>11</v>
      </c>
      <c r="B627" t="s">
        <v>10</v>
      </c>
      <c r="C627" t="s">
        <v>24</v>
      </c>
      <c r="D627">
        <v>2021</v>
      </c>
      <c r="E627">
        <v>300</v>
      </c>
      <c r="F627">
        <v>606300</v>
      </c>
      <c r="G627">
        <v>200250</v>
      </c>
      <c r="H627">
        <v>406050</v>
      </c>
      <c r="I627" s="19">
        <v>45108</v>
      </c>
      <c r="J627" t="s">
        <v>20</v>
      </c>
      <c r="K627">
        <v>2023</v>
      </c>
    </row>
    <row r="628" spans="1:11" x14ac:dyDescent="0.3">
      <c r="A628" t="s">
        <v>16</v>
      </c>
      <c r="B628" t="s">
        <v>15</v>
      </c>
      <c r="C628" t="s">
        <v>24</v>
      </c>
      <c r="D628">
        <v>1804</v>
      </c>
      <c r="E628">
        <v>125</v>
      </c>
      <c r="F628">
        <v>225500</v>
      </c>
      <c r="G628">
        <v>122760</v>
      </c>
      <c r="H628">
        <v>102740</v>
      </c>
      <c r="I628" s="19">
        <v>44805</v>
      </c>
      <c r="J628" t="s">
        <v>22</v>
      </c>
      <c r="K628">
        <v>2022</v>
      </c>
    </row>
    <row r="629" spans="1:11" x14ac:dyDescent="0.3">
      <c r="A629" t="s">
        <v>7</v>
      </c>
      <c r="B629" t="s">
        <v>6</v>
      </c>
      <c r="C629" t="s">
        <v>24</v>
      </c>
      <c r="D629">
        <v>1014</v>
      </c>
      <c r="E629">
        <v>300</v>
      </c>
      <c r="F629">
        <v>304200</v>
      </c>
      <c r="G629">
        <v>374000</v>
      </c>
      <c r="H629">
        <v>-69800</v>
      </c>
      <c r="I629" s="19">
        <v>45200</v>
      </c>
      <c r="J629" t="s">
        <v>12</v>
      </c>
      <c r="K629">
        <v>2023</v>
      </c>
    </row>
    <row r="630" spans="1:11" x14ac:dyDescent="0.3">
      <c r="A630" t="s">
        <v>3</v>
      </c>
      <c r="B630" t="s">
        <v>2</v>
      </c>
      <c r="C630" t="s">
        <v>24</v>
      </c>
      <c r="D630">
        <v>2913</v>
      </c>
      <c r="E630">
        <v>300</v>
      </c>
      <c r="F630">
        <v>873900</v>
      </c>
      <c r="G630">
        <v>252500</v>
      </c>
      <c r="H630">
        <v>621400</v>
      </c>
      <c r="I630" s="19">
        <v>45200</v>
      </c>
      <c r="J630" t="s">
        <v>12</v>
      </c>
      <c r="K630">
        <v>2023</v>
      </c>
    </row>
    <row r="631" spans="1:11" x14ac:dyDescent="0.3">
      <c r="A631" t="s">
        <v>19</v>
      </c>
      <c r="B631" t="s">
        <v>6</v>
      </c>
      <c r="C631" t="s">
        <v>24</v>
      </c>
      <c r="D631">
        <v>763</v>
      </c>
      <c r="E631">
        <v>15</v>
      </c>
      <c r="F631">
        <v>11445</v>
      </c>
      <c r="G631">
        <v>15130</v>
      </c>
      <c r="H631">
        <v>-3685</v>
      </c>
      <c r="I631" s="19">
        <v>45231</v>
      </c>
      <c r="J631" t="s">
        <v>18</v>
      </c>
      <c r="K631">
        <v>2023</v>
      </c>
    </row>
    <row r="632" spans="1:11" x14ac:dyDescent="0.3">
      <c r="A632" t="s">
        <v>7</v>
      </c>
      <c r="B632" t="s">
        <v>6</v>
      </c>
      <c r="C632" t="s">
        <v>24</v>
      </c>
      <c r="D632">
        <v>1425</v>
      </c>
      <c r="E632">
        <v>15</v>
      </c>
      <c r="F632">
        <v>21375</v>
      </c>
      <c r="G632">
        <v>23000</v>
      </c>
      <c r="H632">
        <v>-1625</v>
      </c>
      <c r="I632" s="19">
        <v>45261</v>
      </c>
      <c r="J632" t="s">
        <v>17</v>
      </c>
      <c r="K632">
        <v>2023</v>
      </c>
    </row>
    <row r="633" spans="1:11" x14ac:dyDescent="0.3">
      <c r="A633" t="s">
        <v>11</v>
      </c>
      <c r="B633" t="s">
        <v>10</v>
      </c>
      <c r="C633" t="s">
        <v>24</v>
      </c>
      <c r="D633">
        <v>4357</v>
      </c>
      <c r="E633">
        <v>125</v>
      </c>
      <c r="F633">
        <v>544625</v>
      </c>
      <c r="G633">
        <v>338520</v>
      </c>
      <c r="H633">
        <v>206105</v>
      </c>
      <c r="I633" s="19">
        <v>44896</v>
      </c>
      <c r="J633" t="s">
        <v>17</v>
      </c>
      <c r="K633">
        <v>2022</v>
      </c>
    </row>
    <row r="634" spans="1:11" x14ac:dyDescent="0.3">
      <c r="A634" t="s">
        <v>7</v>
      </c>
      <c r="B634" t="s">
        <v>6</v>
      </c>
      <c r="C634" t="s">
        <v>9</v>
      </c>
      <c r="D634">
        <v>2138</v>
      </c>
      <c r="E634">
        <v>350</v>
      </c>
      <c r="F634">
        <v>748300</v>
      </c>
      <c r="G634">
        <v>579150</v>
      </c>
      <c r="H634">
        <v>169150</v>
      </c>
      <c r="I634" s="19">
        <v>44927</v>
      </c>
      <c r="J634" t="s">
        <v>25</v>
      </c>
      <c r="K634">
        <v>2023</v>
      </c>
    </row>
    <row r="635" spans="1:11" x14ac:dyDescent="0.3">
      <c r="A635" t="s">
        <v>19</v>
      </c>
      <c r="B635" t="s">
        <v>6</v>
      </c>
      <c r="C635" t="s">
        <v>9</v>
      </c>
      <c r="D635">
        <v>3825</v>
      </c>
      <c r="E635">
        <v>350</v>
      </c>
      <c r="F635">
        <v>1338750</v>
      </c>
      <c r="G635">
        <v>311740</v>
      </c>
      <c r="H635">
        <v>1027010</v>
      </c>
      <c r="I635" s="19">
        <v>45017</v>
      </c>
      <c r="J635" t="s">
        <v>4</v>
      </c>
      <c r="K635">
        <v>2023</v>
      </c>
    </row>
    <row r="636" spans="1:11" x14ac:dyDescent="0.3">
      <c r="A636" t="s">
        <v>7</v>
      </c>
      <c r="B636" t="s">
        <v>6</v>
      </c>
      <c r="C636" t="s">
        <v>9</v>
      </c>
      <c r="D636">
        <v>3393</v>
      </c>
      <c r="E636">
        <v>350</v>
      </c>
      <c r="F636">
        <v>1187550</v>
      </c>
      <c r="G636">
        <v>52000</v>
      </c>
      <c r="H636">
        <v>1135550</v>
      </c>
      <c r="I636" s="19">
        <v>45047</v>
      </c>
      <c r="J636" t="s">
        <v>0</v>
      </c>
      <c r="K636">
        <v>2023</v>
      </c>
    </row>
    <row r="637" spans="1:11" x14ac:dyDescent="0.3">
      <c r="A637" t="s">
        <v>7</v>
      </c>
      <c r="B637" t="s">
        <v>6</v>
      </c>
      <c r="C637" t="s">
        <v>9</v>
      </c>
      <c r="D637">
        <v>2215</v>
      </c>
      <c r="E637">
        <v>7</v>
      </c>
      <c r="F637">
        <v>15505</v>
      </c>
      <c r="G637">
        <v>1940</v>
      </c>
      <c r="H637">
        <v>13565</v>
      </c>
      <c r="I637" s="19">
        <v>45170</v>
      </c>
      <c r="J637" t="s">
        <v>22</v>
      </c>
      <c r="K637">
        <v>2023</v>
      </c>
    </row>
    <row r="638" spans="1:11" x14ac:dyDescent="0.3">
      <c r="A638" t="s">
        <v>11</v>
      </c>
      <c r="B638" t="s">
        <v>10</v>
      </c>
      <c r="C638" t="s">
        <v>9</v>
      </c>
      <c r="D638">
        <v>2278</v>
      </c>
      <c r="E638">
        <v>7</v>
      </c>
      <c r="F638">
        <v>15946</v>
      </c>
      <c r="G638">
        <v>8635</v>
      </c>
      <c r="H638">
        <v>7311</v>
      </c>
      <c r="I638" s="19">
        <v>44835</v>
      </c>
      <c r="J638" t="s">
        <v>12</v>
      </c>
      <c r="K638">
        <v>2022</v>
      </c>
    </row>
    <row r="639" spans="1:11" x14ac:dyDescent="0.3">
      <c r="A639" t="s">
        <v>7</v>
      </c>
      <c r="B639" t="s">
        <v>6</v>
      </c>
      <c r="C639" t="s">
        <v>9</v>
      </c>
      <c r="D639">
        <v>403</v>
      </c>
      <c r="E639">
        <v>15</v>
      </c>
      <c r="F639">
        <v>6045</v>
      </c>
      <c r="G639">
        <v>23000</v>
      </c>
      <c r="H639">
        <v>-16955</v>
      </c>
      <c r="I639" s="19">
        <v>45261</v>
      </c>
      <c r="J639" t="s">
        <v>17</v>
      </c>
      <c r="K639">
        <v>2023</v>
      </c>
    </row>
    <row r="640" spans="1:11" x14ac:dyDescent="0.3">
      <c r="A640" t="s">
        <v>11</v>
      </c>
      <c r="B640" t="s">
        <v>10</v>
      </c>
      <c r="C640" t="s">
        <v>5</v>
      </c>
      <c r="D640">
        <v>289</v>
      </c>
      <c r="E640">
        <v>20</v>
      </c>
      <c r="F640">
        <v>5780</v>
      </c>
      <c r="G640">
        <v>2600</v>
      </c>
      <c r="H640">
        <v>3180</v>
      </c>
      <c r="I640" s="19">
        <v>44958</v>
      </c>
      <c r="J640" t="s">
        <v>8</v>
      </c>
      <c r="K640">
        <v>2023</v>
      </c>
    </row>
    <row r="641" spans="1:11" x14ac:dyDescent="0.3">
      <c r="A641" t="s">
        <v>7</v>
      </c>
      <c r="B641" t="s">
        <v>6</v>
      </c>
      <c r="C641" t="s">
        <v>5</v>
      </c>
      <c r="D641">
        <v>749</v>
      </c>
      <c r="E641">
        <v>15</v>
      </c>
      <c r="F641">
        <v>11235</v>
      </c>
      <c r="G641">
        <v>24700</v>
      </c>
      <c r="H641">
        <v>-13465</v>
      </c>
      <c r="I641" s="19">
        <v>44805</v>
      </c>
      <c r="J641" t="s">
        <v>22</v>
      </c>
      <c r="K641">
        <v>2022</v>
      </c>
    </row>
    <row r="642" spans="1:11" x14ac:dyDescent="0.3">
      <c r="A642" t="s">
        <v>7</v>
      </c>
      <c r="B642" t="s">
        <v>6</v>
      </c>
      <c r="C642" t="s">
        <v>5</v>
      </c>
      <c r="D642">
        <v>372</v>
      </c>
      <c r="E642">
        <v>15</v>
      </c>
      <c r="F642">
        <v>5580</v>
      </c>
      <c r="G642">
        <v>17430</v>
      </c>
      <c r="H642">
        <v>-11850</v>
      </c>
      <c r="I642" s="19">
        <v>44835</v>
      </c>
      <c r="J642" t="s">
        <v>12</v>
      </c>
      <c r="K642">
        <v>2022</v>
      </c>
    </row>
    <row r="643" spans="1:11" x14ac:dyDescent="0.3">
      <c r="A643" t="s">
        <v>3</v>
      </c>
      <c r="B643" t="s">
        <v>2</v>
      </c>
      <c r="C643" t="s">
        <v>5</v>
      </c>
      <c r="D643">
        <v>3781</v>
      </c>
      <c r="E643">
        <v>12</v>
      </c>
      <c r="F643">
        <v>45372</v>
      </c>
      <c r="G643">
        <v>8742</v>
      </c>
      <c r="H643">
        <v>36630</v>
      </c>
      <c r="I643" s="19">
        <v>45200</v>
      </c>
      <c r="J643" t="s">
        <v>12</v>
      </c>
      <c r="K643">
        <v>2023</v>
      </c>
    </row>
    <row r="644" spans="1:11" x14ac:dyDescent="0.3">
      <c r="A644" t="s">
        <v>16</v>
      </c>
      <c r="B644" t="s">
        <v>15</v>
      </c>
      <c r="C644" t="s">
        <v>5</v>
      </c>
      <c r="D644">
        <v>1785</v>
      </c>
      <c r="E644">
        <v>7</v>
      </c>
      <c r="F644">
        <v>12495</v>
      </c>
      <c r="G644">
        <v>8655</v>
      </c>
      <c r="H644">
        <v>3840</v>
      </c>
      <c r="I644" s="19">
        <v>45200</v>
      </c>
      <c r="J644" t="s">
        <v>12</v>
      </c>
      <c r="K644">
        <v>2023</v>
      </c>
    </row>
    <row r="645" spans="1:11" x14ac:dyDescent="0.3">
      <c r="A645" t="s">
        <v>7</v>
      </c>
      <c r="B645" t="s">
        <v>6</v>
      </c>
      <c r="C645" t="s">
        <v>5</v>
      </c>
      <c r="D645">
        <v>4029</v>
      </c>
      <c r="E645">
        <v>350</v>
      </c>
      <c r="F645">
        <v>1410150</v>
      </c>
      <c r="G645">
        <v>182000</v>
      </c>
      <c r="H645">
        <v>1228150</v>
      </c>
      <c r="I645" s="19">
        <v>45231</v>
      </c>
      <c r="J645" t="s">
        <v>18</v>
      </c>
      <c r="K645">
        <v>2023</v>
      </c>
    </row>
    <row r="646" spans="1:11" x14ac:dyDescent="0.3">
      <c r="A646" t="s">
        <v>7</v>
      </c>
      <c r="B646" t="s">
        <v>6</v>
      </c>
      <c r="C646" t="s">
        <v>5</v>
      </c>
      <c r="D646">
        <v>2813</v>
      </c>
      <c r="E646">
        <v>12</v>
      </c>
      <c r="F646">
        <v>33756</v>
      </c>
      <c r="G646">
        <v>6666</v>
      </c>
      <c r="H646">
        <v>27090</v>
      </c>
      <c r="I646" s="19">
        <v>44866</v>
      </c>
      <c r="J646" t="s">
        <v>18</v>
      </c>
      <c r="K646">
        <v>2022</v>
      </c>
    </row>
    <row r="647" spans="1:11" x14ac:dyDescent="0.3">
      <c r="A647" t="s">
        <v>3</v>
      </c>
      <c r="B647" t="s">
        <v>2</v>
      </c>
      <c r="C647" t="s">
        <v>5</v>
      </c>
      <c r="D647">
        <v>2150</v>
      </c>
      <c r="E647">
        <v>350</v>
      </c>
      <c r="F647">
        <v>752500</v>
      </c>
      <c r="G647">
        <v>306020</v>
      </c>
      <c r="H647">
        <v>446480</v>
      </c>
      <c r="I647" s="19">
        <v>45231</v>
      </c>
      <c r="J647" t="s">
        <v>18</v>
      </c>
      <c r="K647">
        <v>2023</v>
      </c>
    </row>
    <row r="648" spans="1:11" x14ac:dyDescent="0.3">
      <c r="A648" t="s">
        <v>16</v>
      </c>
      <c r="B648" t="s">
        <v>15</v>
      </c>
      <c r="C648" t="s">
        <v>5</v>
      </c>
      <c r="D648">
        <v>2093</v>
      </c>
      <c r="E648">
        <v>350</v>
      </c>
      <c r="F648">
        <v>732550</v>
      </c>
      <c r="G648">
        <v>499720</v>
      </c>
      <c r="H648">
        <v>232830</v>
      </c>
      <c r="I648" s="19">
        <v>44866</v>
      </c>
      <c r="J648" t="s">
        <v>18</v>
      </c>
      <c r="K648">
        <v>2022</v>
      </c>
    </row>
    <row r="649" spans="1:11" x14ac:dyDescent="0.3">
      <c r="A649" t="s">
        <v>11</v>
      </c>
      <c r="B649" t="s">
        <v>10</v>
      </c>
      <c r="C649" t="s">
        <v>21</v>
      </c>
      <c r="D649">
        <v>4391</v>
      </c>
      <c r="E649">
        <v>125</v>
      </c>
      <c r="F649">
        <v>548875</v>
      </c>
      <c r="G649">
        <v>189000</v>
      </c>
      <c r="H649">
        <v>359875</v>
      </c>
      <c r="I649" s="19">
        <v>44958</v>
      </c>
      <c r="J649" t="s">
        <v>8</v>
      </c>
      <c r="K649">
        <v>2023</v>
      </c>
    </row>
    <row r="650" spans="1:11" x14ac:dyDescent="0.3">
      <c r="A650" t="s">
        <v>3</v>
      </c>
      <c r="B650" t="s">
        <v>2</v>
      </c>
      <c r="C650" t="s">
        <v>21</v>
      </c>
      <c r="D650">
        <v>2695</v>
      </c>
      <c r="E650">
        <v>20</v>
      </c>
      <c r="F650">
        <v>53900</v>
      </c>
      <c r="G650">
        <v>6060</v>
      </c>
      <c r="H650">
        <v>47840</v>
      </c>
      <c r="I650" s="19">
        <v>45017</v>
      </c>
      <c r="J650" t="s">
        <v>4</v>
      </c>
      <c r="K650">
        <v>2023</v>
      </c>
    </row>
    <row r="651" spans="1:11" x14ac:dyDescent="0.3">
      <c r="A651" t="s">
        <v>3</v>
      </c>
      <c r="B651" t="s">
        <v>2</v>
      </c>
      <c r="C651" t="s">
        <v>21</v>
      </c>
      <c r="D651">
        <v>1337</v>
      </c>
      <c r="E651">
        <v>300</v>
      </c>
      <c r="F651">
        <v>401100</v>
      </c>
      <c r="G651">
        <v>615000</v>
      </c>
      <c r="H651">
        <v>-213900</v>
      </c>
      <c r="I651" s="19">
        <v>45108</v>
      </c>
      <c r="J651" t="s">
        <v>20</v>
      </c>
      <c r="K651">
        <v>2023</v>
      </c>
    </row>
    <row r="652" spans="1:11" x14ac:dyDescent="0.3">
      <c r="A652" t="s">
        <v>7</v>
      </c>
      <c r="B652" t="s">
        <v>6</v>
      </c>
      <c r="C652" t="s">
        <v>21</v>
      </c>
      <c r="D652">
        <v>2621</v>
      </c>
      <c r="E652">
        <v>300</v>
      </c>
      <c r="F652">
        <v>786300</v>
      </c>
      <c r="G652">
        <v>67250</v>
      </c>
      <c r="H652">
        <v>719050</v>
      </c>
      <c r="I652" s="19">
        <v>44835</v>
      </c>
      <c r="J652" t="s">
        <v>12</v>
      </c>
      <c r="K652">
        <v>2022</v>
      </c>
    </row>
    <row r="653" spans="1:11" x14ac:dyDescent="0.3">
      <c r="A653" t="s">
        <v>19</v>
      </c>
      <c r="B653" t="s">
        <v>6</v>
      </c>
      <c r="C653" t="s">
        <v>21</v>
      </c>
      <c r="D653">
        <v>3735</v>
      </c>
      <c r="E653">
        <v>300</v>
      </c>
      <c r="F653">
        <v>1120500</v>
      </c>
      <c r="G653">
        <v>634000</v>
      </c>
      <c r="H653">
        <v>486500</v>
      </c>
      <c r="I653" s="19">
        <v>44866</v>
      </c>
      <c r="J653" t="s">
        <v>18</v>
      </c>
      <c r="K653">
        <v>2022</v>
      </c>
    </row>
    <row r="654" spans="1:11" x14ac:dyDescent="0.3">
      <c r="A654" t="s">
        <v>11</v>
      </c>
      <c r="B654" t="s">
        <v>10</v>
      </c>
      <c r="C654" t="s">
        <v>1</v>
      </c>
      <c r="D654">
        <v>4320</v>
      </c>
      <c r="E654">
        <v>7</v>
      </c>
      <c r="F654">
        <v>30240</v>
      </c>
      <c r="G654">
        <v>14515</v>
      </c>
      <c r="H654">
        <v>15725</v>
      </c>
      <c r="I654" s="19">
        <v>44986</v>
      </c>
      <c r="J654" t="s">
        <v>14</v>
      </c>
      <c r="K654">
        <v>2023</v>
      </c>
    </row>
    <row r="655" spans="1:11" x14ac:dyDescent="0.3">
      <c r="A655" t="s">
        <v>3</v>
      </c>
      <c r="B655" t="s">
        <v>2</v>
      </c>
      <c r="C655" t="s">
        <v>1</v>
      </c>
      <c r="D655">
        <v>2828</v>
      </c>
      <c r="E655">
        <v>300</v>
      </c>
      <c r="F655">
        <v>848400</v>
      </c>
      <c r="G655">
        <v>635250</v>
      </c>
      <c r="H655">
        <v>213150</v>
      </c>
      <c r="I655" s="19">
        <v>45139</v>
      </c>
      <c r="J655" t="s">
        <v>23</v>
      </c>
      <c r="K655">
        <v>2023</v>
      </c>
    </row>
    <row r="656" spans="1:11" x14ac:dyDescent="0.3">
      <c r="A656" t="s">
        <v>7</v>
      </c>
      <c r="B656" t="s">
        <v>6</v>
      </c>
      <c r="C656" t="s">
        <v>1</v>
      </c>
      <c r="D656">
        <v>2586</v>
      </c>
      <c r="E656">
        <v>300</v>
      </c>
      <c r="F656">
        <v>775800</v>
      </c>
      <c r="G656">
        <v>67250</v>
      </c>
      <c r="H656">
        <v>708550</v>
      </c>
      <c r="I656" s="19">
        <v>44835</v>
      </c>
      <c r="J656" t="s">
        <v>12</v>
      </c>
      <c r="K656">
        <v>2022</v>
      </c>
    </row>
    <row r="657" spans="1:11" x14ac:dyDescent="0.3">
      <c r="A657" t="s">
        <v>7</v>
      </c>
      <c r="B657" t="s">
        <v>6</v>
      </c>
      <c r="C657" t="s">
        <v>1</v>
      </c>
      <c r="D657">
        <v>1248</v>
      </c>
      <c r="E657">
        <v>300</v>
      </c>
      <c r="F657">
        <v>374400</v>
      </c>
      <c r="G657">
        <v>374000</v>
      </c>
      <c r="H657">
        <v>400</v>
      </c>
      <c r="I657" s="19">
        <v>45200</v>
      </c>
      <c r="J657" t="s">
        <v>12</v>
      </c>
      <c r="K657">
        <v>2023</v>
      </c>
    </row>
    <row r="658" spans="1:11" x14ac:dyDescent="0.3">
      <c r="A658" t="s">
        <v>3</v>
      </c>
      <c r="B658" t="s">
        <v>2</v>
      </c>
      <c r="C658" t="s">
        <v>1</v>
      </c>
      <c r="D658">
        <v>4035</v>
      </c>
      <c r="E658">
        <v>300</v>
      </c>
      <c r="F658">
        <v>1210500</v>
      </c>
      <c r="G658">
        <v>252500</v>
      </c>
      <c r="H658">
        <v>958000</v>
      </c>
      <c r="I658" s="19">
        <v>45200</v>
      </c>
      <c r="J658" t="s">
        <v>12</v>
      </c>
      <c r="K658">
        <v>2023</v>
      </c>
    </row>
    <row r="659" spans="1:11" x14ac:dyDescent="0.3">
      <c r="A659" t="s">
        <v>16</v>
      </c>
      <c r="B659" t="s">
        <v>15</v>
      </c>
      <c r="C659" t="s">
        <v>1</v>
      </c>
      <c r="D659">
        <v>359</v>
      </c>
      <c r="E659">
        <v>350</v>
      </c>
      <c r="F659">
        <v>125650</v>
      </c>
      <c r="G659">
        <v>333060</v>
      </c>
      <c r="H659">
        <v>-207410</v>
      </c>
      <c r="I659" s="19">
        <v>44896</v>
      </c>
      <c r="J659" t="s">
        <v>17</v>
      </c>
      <c r="K659">
        <v>2022</v>
      </c>
    </row>
    <row r="660" spans="1:11" x14ac:dyDescent="0.3">
      <c r="A660" t="s">
        <v>7</v>
      </c>
      <c r="B660" t="s">
        <v>6</v>
      </c>
      <c r="C660" t="s">
        <v>13</v>
      </c>
      <c r="D660">
        <v>3926</v>
      </c>
      <c r="E660">
        <v>300</v>
      </c>
      <c r="F660">
        <v>1177800</v>
      </c>
      <c r="G660">
        <v>222000</v>
      </c>
      <c r="H660">
        <v>955800</v>
      </c>
      <c r="I660" s="19">
        <v>44986</v>
      </c>
      <c r="J660" t="s">
        <v>14</v>
      </c>
      <c r="K660">
        <v>2023</v>
      </c>
    </row>
    <row r="661" spans="1:11" x14ac:dyDescent="0.3">
      <c r="A661" t="s">
        <v>3</v>
      </c>
      <c r="B661" t="s">
        <v>2</v>
      </c>
      <c r="C661" t="s">
        <v>13</v>
      </c>
      <c r="D661">
        <v>4247</v>
      </c>
      <c r="E661">
        <v>125</v>
      </c>
      <c r="F661">
        <v>530875</v>
      </c>
      <c r="G661">
        <v>341280</v>
      </c>
      <c r="H661">
        <v>189595</v>
      </c>
      <c r="I661" s="19">
        <v>45047</v>
      </c>
      <c r="J661" t="s">
        <v>0</v>
      </c>
      <c r="K661">
        <v>2023</v>
      </c>
    </row>
    <row r="662" spans="1:11" x14ac:dyDescent="0.3">
      <c r="A662" t="s">
        <v>16</v>
      </c>
      <c r="B662" t="s">
        <v>15</v>
      </c>
      <c r="C662" t="s">
        <v>13</v>
      </c>
      <c r="D662">
        <v>2695</v>
      </c>
      <c r="E662">
        <v>12</v>
      </c>
      <c r="F662">
        <v>32340</v>
      </c>
      <c r="G662">
        <v>7425</v>
      </c>
      <c r="H662">
        <v>24915</v>
      </c>
      <c r="I662" s="19">
        <v>45139</v>
      </c>
      <c r="J662" t="s">
        <v>23</v>
      </c>
      <c r="K662">
        <v>2023</v>
      </c>
    </row>
    <row r="663" spans="1:11" x14ac:dyDescent="0.3">
      <c r="A663" t="s">
        <v>7</v>
      </c>
      <c r="B663" t="s">
        <v>6</v>
      </c>
      <c r="C663" t="s">
        <v>13</v>
      </c>
      <c r="D663">
        <v>1104</v>
      </c>
      <c r="E663">
        <v>15</v>
      </c>
      <c r="F663">
        <v>16560</v>
      </c>
      <c r="G663">
        <v>17430</v>
      </c>
      <c r="H663">
        <v>-870</v>
      </c>
      <c r="I663" s="19">
        <v>44835</v>
      </c>
      <c r="J663" t="s">
        <v>12</v>
      </c>
      <c r="K663">
        <v>2022</v>
      </c>
    </row>
    <row r="664" spans="1:11" x14ac:dyDescent="0.3">
      <c r="A664" t="s">
        <v>3</v>
      </c>
      <c r="B664" t="s">
        <v>2</v>
      </c>
      <c r="C664" t="s">
        <v>13</v>
      </c>
      <c r="D664">
        <v>1449</v>
      </c>
      <c r="E664">
        <v>12</v>
      </c>
      <c r="F664">
        <v>17388</v>
      </c>
      <c r="G664">
        <v>8742</v>
      </c>
      <c r="H664">
        <v>8646</v>
      </c>
      <c r="I664" s="19">
        <v>45200</v>
      </c>
      <c r="J664" t="s">
        <v>12</v>
      </c>
      <c r="K664">
        <v>2023</v>
      </c>
    </row>
    <row r="665" spans="1:11" x14ac:dyDescent="0.3">
      <c r="A665" t="s">
        <v>16</v>
      </c>
      <c r="B665" t="s">
        <v>15</v>
      </c>
      <c r="C665" t="s">
        <v>13</v>
      </c>
      <c r="D665">
        <v>1131</v>
      </c>
      <c r="E665">
        <v>7</v>
      </c>
      <c r="F665">
        <v>7917</v>
      </c>
      <c r="G665">
        <v>8655</v>
      </c>
      <c r="H665">
        <v>-738</v>
      </c>
      <c r="I665" s="19">
        <v>45200</v>
      </c>
      <c r="J665" t="s">
        <v>12</v>
      </c>
      <c r="K665">
        <v>2023</v>
      </c>
    </row>
    <row r="666" spans="1:11" x14ac:dyDescent="0.3">
      <c r="A666" t="s">
        <v>11</v>
      </c>
      <c r="B666" t="s">
        <v>10</v>
      </c>
      <c r="C666" t="s">
        <v>13</v>
      </c>
      <c r="D666">
        <v>1468</v>
      </c>
      <c r="E666">
        <v>7</v>
      </c>
      <c r="F666">
        <v>10276</v>
      </c>
      <c r="G666">
        <v>8635</v>
      </c>
      <c r="H666">
        <v>1641</v>
      </c>
      <c r="I666" s="19">
        <v>44835</v>
      </c>
      <c r="J666" t="s">
        <v>12</v>
      </c>
      <c r="K666">
        <v>2022</v>
      </c>
    </row>
    <row r="667" spans="1:11" x14ac:dyDescent="0.3">
      <c r="A667" t="s">
        <v>11</v>
      </c>
      <c r="B667" t="s">
        <v>10</v>
      </c>
      <c r="C667" t="s">
        <v>13</v>
      </c>
      <c r="D667">
        <v>1272</v>
      </c>
      <c r="E667">
        <v>15</v>
      </c>
      <c r="F667">
        <v>19080</v>
      </c>
      <c r="G667">
        <v>18700</v>
      </c>
      <c r="H667">
        <v>380</v>
      </c>
      <c r="I667" s="19">
        <v>44866</v>
      </c>
      <c r="J667" t="s">
        <v>18</v>
      </c>
      <c r="K667">
        <v>2022</v>
      </c>
    </row>
    <row r="668" spans="1:11" x14ac:dyDescent="0.3">
      <c r="A668" t="s">
        <v>16</v>
      </c>
      <c r="B668" t="s">
        <v>15</v>
      </c>
      <c r="C668" t="s">
        <v>24</v>
      </c>
      <c r="D668">
        <v>1403</v>
      </c>
      <c r="E668">
        <v>125</v>
      </c>
      <c r="F668">
        <v>175375</v>
      </c>
      <c r="G668">
        <v>140880</v>
      </c>
      <c r="H668">
        <v>34495</v>
      </c>
      <c r="I668" s="19">
        <v>45139</v>
      </c>
      <c r="J668" t="s">
        <v>23</v>
      </c>
      <c r="K668">
        <v>2023</v>
      </c>
    </row>
    <row r="669" spans="1:11" x14ac:dyDescent="0.3">
      <c r="A669" t="s">
        <v>19</v>
      </c>
      <c r="B669" t="s">
        <v>6</v>
      </c>
      <c r="C669" t="s">
        <v>24</v>
      </c>
      <c r="D669">
        <v>2161</v>
      </c>
      <c r="E669">
        <v>125</v>
      </c>
      <c r="F669">
        <v>270125</v>
      </c>
      <c r="G669">
        <v>332040</v>
      </c>
      <c r="H669">
        <v>-61915</v>
      </c>
      <c r="I669" s="19">
        <v>45139</v>
      </c>
      <c r="J669" t="s">
        <v>23</v>
      </c>
      <c r="K669">
        <v>2023</v>
      </c>
    </row>
    <row r="670" spans="1:11" x14ac:dyDescent="0.3">
      <c r="A670" t="s">
        <v>19</v>
      </c>
      <c r="B670" t="s">
        <v>6</v>
      </c>
      <c r="C670" t="s">
        <v>24</v>
      </c>
      <c r="D670">
        <v>1937</v>
      </c>
      <c r="E670">
        <v>125</v>
      </c>
      <c r="F670">
        <v>242125</v>
      </c>
      <c r="G670">
        <v>130200</v>
      </c>
      <c r="H670">
        <v>111925</v>
      </c>
      <c r="I670" s="19">
        <v>45200</v>
      </c>
      <c r="J670" t="s">
        <v>12</v>
      </c>
      <c r="K670">
        <v>2023</v>
      </c>
    </row>
    <row r="671" spans="1:11" x14ac:dyDescent="0.3">
      <c r="A671" t="s">
        <v>11</v>
      </c>
      <c r="B671" t="s">
        <v>10</v>
      </c>
      <c r="C671" t="s">
        <v>9</v>
      </c>
      <c r="D671">
        <v>2879</v>
      </c>
      <c r="E671">
        <v>300</v>
      </c>
      <c r="F671">
        <v>863700</v>
      </c>
      <c r="G671">
        <v>136500</v>
      </c>
      <c r="H671">
        <v>727200</v>
      </c>
      <c r="I671" s="19">
        <v>45200</v>
      </c>
      <c r="J671" t="s">
        <v>12</v>
      </c>
      <c r="K671">
        <v>2023</v>
      </c>
    </row>
    <row r="672" spans="1:11" x14ac:dyDescent="0.3">
      <c r="A672" t="s">
        <v>19</v>
      </c>
      <c r="B672" t="s">
        <v>6</v>
      </c>
      <c r="C672" t="s">
        <v>5</v>
      </c>
      <c r="D672">
        <v>1330</v>
      </c>
      <c r="E672">
        <v>20</v>
      </c>
      <c r="F672">
        <v>26600</v>
      </c>
      <c r="G672">
        <v>11580</v>
      </c>
      <c r="H672">
        <v>15020</v>
      </c>
      <c r="I672" s="19">
        <v>44986</v>
      </c>
      <c r="J672" t="s">
        <v>14</v>
      </c>
      <c r="K672">
        <v>2023</v>
      </c>
    </row>
    <row r="673" spans="1:11" x14ac:dyDescent="0.3">
      <c r="A673" t="s">
        <v>7</v>
      </c>
      <c r="B673" t="s">
        <v>6</v>
      </c>
      <c r="C673" t="s">
        <v>5</v>
      </c>
      <c r="D673">
        <v>2426</v>
      </c>
      <c r="E673">
        <v>15</v>
      </c>
      <c r="F673">
        <v>36390</v>
      </c>
      <c r="G673">
        <v>16140</v>
      </c>
      <c r="H673">
        <v>20250</v>
      </c>
      <c r="I673" s="19">
        <v>45017</v>
      </c>
      <c r="J673" t="s">
        <v>4</v>
      </c>
      <c r="K673">
        <v>2023</v>
      </c>
    </row>
    <row r="674" spans="1:11" x14ac:dyDescent="0.3">
      <c r="A674" t="s">
        <v>11</v>
      </c>
      <c r="B674" t="s">
        <v>10</v>
      </c>
      <c r="C674" t="s">
        <v>5</v>
      </c>
      <c r="D674">
        <v>2033</v>
      </c>
      <c r="E674">
        <v>7</v>
      </c>
      <c r="F674">
        <v>14231</v>
      </c>
      <c r="G674">
        <v>12675</v>
      </c>
      <c r="H674">
        <v>1556</v>
      </c>
      <c r="I674" s="19">
        <v>45017</v>
      </c>
      <c r="J674" t="s">
        <v>4</v>
      </c>
      <c r="K674">
        <v>2023</v>
      </c>
    </row>
    <row r="675" spans="1:11" x14ac:dyDescent="0.3">
      <c r="A675" t="s">
        <v>11</v>
      </c>
      <c r="B675" t="s">
        <v>10</v>
      </c>
      <c r="C675" t="s">
        <v>5</v>
      </c>
      <c r="D675">
        <v>2029</v>
      </c>
      <c r="E675">
        <v>350</v>
      </c>
      <c r="F675">
        <v>710150</v>
      </c>
      <c r="G675">
        <v>741260</v>
      </c>
      <c r="H675">
        <v>-31110</v>
      </c>
      <c r="I675" s="19">
        <v>45047</v>
      </c>
      <c r="J675" t="s">
        <v>0</v>
      </c>
      <c r="K675">
        <v>2023</v>
      </c>
    </row>
    <row r="676" spans="1:11" x14ac:dyDescent="0.3">
      <c r="A676" t="s">
        <v>7</v>
      </c>
      <c r="B676" t="s">
        <v>6</v>
      </c>
      <c r="C676" t="s">
        <v>5</v>
      </c>
      <c r="D676">
        <v>1049</v>
      </c>
      <c r="E676">
        <v>15</v>
      </c>
      <c r="F676">
        <v>15735</v>
      </c>
      <c r="G676">
        <v>25590</v>
      </c>
      <c r="H676">
        <v>-9855</v>
      </c>
      <c r="I676" s="19">
        <v>45139</v>
      </c>
      <c r="J676" t="s">
        <v>23</v>
      </c>
      <c r="K676">
        <v>2023</v>
      </c>
    </row>
    <row r="677" spans="1:11" x14ac:dyDescent="0.3">
      <c r="A677" t="s">
        <v>3</v>
      </c>
      <c r="B677" t="s">
        <v>2</v>
      </c>
      <c r="C677" t="s">
        <v>5</v>
      </c>
      <c r="D677">
        <v>1062</v>
      </c>
      <c r="E677">
        <v>20</v>
      </c>
      <c r="F677">
        <v>21240</v>
      </c>
      <c r="G677">
        <v>2670</v>
      </c>
      <c r="H677">
        <v>18570</v>
      </c>
      <c r="I677" s="19">
        <v>44835</v>
      </c>
      <c r="J677" t="s">
        <v>12</v>
      </c>
      <c r="K677">
        <v>2022</v>
      </c>
    </row>
    <row r="678" spans="1:11" x14ac:dyDescent="0.3">
      <c r="A678" t="s">
        <v>19</v>
      </c>
      <c r="B678" t="s">
        <v>6</v>
      </c>
      <c r="C678" t="s">
        <v>5</v>
      </c>
      <c r="D678">
        <v>2509</v>
      </c>
      <c r="E678">
        <v>125</v>
      </c>
      <c r="F678">
        <v>313625</v>
      </c>
      <c r="G678">
        <v>130200</v>
      </c>
      <c r="H678">
        <v>183425</v>
      </c>
      <c r="I678" s="19">
        <v>45200</v>
      </c>
      <c r="J678" t="s">
        <v>12</v>
      </c>
      <c r="K678">
        <v>2023</v>
      </c>
    </row>
    <row r="679" spans="1:11" x14ac:dyDescent="0.3">
      <c r="A679" t="s">
        <v>19</v>
      </c>
      <c r="B679" t="s">
        <v>6</v>
      </c>
      <c r="C679" t="s">
        <v>5</v>
      </c>
      <c r="D679">
        <v>1743</v>
      </c>
      <c r="E679">
        <v>15</v>
      </c>
      <c r="F679">
        <v>26145</v>
      </c>
      <c r="G679">
        <v>11750</v>
      </c>
      <c r="H679">
        <v>14395</v>
      </c>
      <c r="I679" s="19">
        <v>45200</v>
      </c>
      <c r="J679" t="s">
        <v>12</v>
      </c>
      <c r="K679">
        <v>2023</v>
      </c>
    </row>
    <row r="680" spans="1:11" x14ac:dyDescent="0.3">
      <c r="A680" t="s">
        <v>3</v>
      </c>
      <c r="B680" t="s">
        <v>2</v>
      </c>
      <c r="C680" t="s">
        <v>5</v>
      </c>
      <c r="D680">
        <v>3418</v>
      </c>
      <c r="E680">
        <v>350</v>
      </c>
      <c r="F680">
        <v>1196300</v>
      </c>
      <c r="G680">
        <v>521820</v>
      </c>
      <c r="H680">
        <v>674480</v>
      </c>
      <c r="I680" s="19">
        <v>44866</v>
      </c>
      <c r="J680" t="s">
        <v>18</v>
      </c>
      <c r="K680">
        <v>2022</v>
      </c>
    </row>
    <row r="681" spans="1:11" x14ac:dyDescent="0.3">
      <c r="A681" t="s">
        <v>11</v>
      </c>
      <c r="B681" t="s">
        <v>10</v>
      </c>
      <c r="C681" t="s">
        <v>5</v>
      </c>
      <c r="D681">
        <v>1751</v>
      </c>
      <c r="E681">
        <v>350</v>
      </c>
      <c r="F681">
        <v>612850</v>
      </c>
      <c r="G681">
        <v>559260</v>
      </c>
      <c r="H681">
        <v>53590</v>
      </c>
      <c r="I681" s="19">
        <v>44866</v>
      </c>
      <c r="J681" t="s">
        <v>18</v>
      </c>
      <c r="K681">
        <v>2022</v>
      </c>
    </row>
    <row r="682" spans="1:11" x14ac:dyDescent="0.3">
      <c r="A682" t="s">
        <v>3</v>
      </c>
      <c r="B682" t="s">
        <v>2</v>
      </c>
      <c r="C682" t="s">
        <v>5</v>
      </c>
      <c r="D682">
        <v>3228</v>
      </c>
      <c r="E682">
        <v>12</v>
      </c>
      <c r="F682">
        <v>38736</v>
      </c>
      <c r="G682">
        <v>2742</v>
      </c>
      <c r="H682">
        <v>35994</v>
      </c>
      <c r="I682" s="19">
        <v>45261</v>
      </c>
      <c r="J682" t="s">
        <v>17</v>
      </c>
      <c r="K682">
        <v>2023</v>
      </c>
    </row>
    <row r="683" spans="1:11" x14ac:dyDescent="0.3">
      <c r="A683" t="s">
        <v>16</v>
      </c>
      <c r="B683" t="s">
        <v>15</v>
      </c>
      <c r="C683" t="s">
        <v>5</v>
      </c>
      <c r="D683">
        <v>1105</v>
      </c>
      <c r="E683">
        <v>20</v>
      </c>
      <c r="F683">
        <v>22100</v>
      </c>
      <c r="G683">
        <v>2930</v>
      </c>
      <c r="H683">
        <v>19170</v>
      </c>
      <c r="I683" s="19">
        <v>45261</v>
      </c>
      <c r="J683" t="s">
        <v>17</v>
      </c>
      <c r="K683">
        <v>2023</v>
      </c>
    </row>
    <row r="684" spans="1:11" x14ac:dyDescent="0.3">
      <c r="A684" t="s">
        <v>11</v>
      </c>
      <c r="B684" t="s">
        <v>10</v>
      </c>
      <c r="C684" t="s">
        <v>21</v>
      </c>
      <c r="D684">
        <v>2778</v>
      </c>
      <c r="E684">
        <v>12</v>
      </c>
      <c r="F684">
        <v>33336</v>
      </c>
      <c r="G684">
        <v>1500</v>
      </c>
      <c r="H684">
        <v>31836</v>
      </c>
      <c r="I684" s="19">
        <v>44986</v>
      </c>
      <c r="J684" t="s">
        <v>14</v>
      </c>
      <c r="K684">
        <v>2023</v>
      </c>
    </row>
    <row r="685" spans="1:11" x14ac:dyDescent="0.3">
      <c r="A685" t="s">
        <v>16</v>
      </c>
      <c r="B685" t="s">
        <v>15</v>
      </c>
      <c r="C685" t="s">
        <v>21</v>
      </c>
      <c r="D685">
        <v>1173</v>
      </c>
      <c r="E685">
        <v>15</v>
      </c>
      <c r="F685">
        <v>17595</v>
      </c>
      <c r="G685">
        <v>28260</v>
      </c>
      <c r="H685">
        <v>-10665</v>
      </c>
      <c r="I685" s="19">
        <v>45047</v>
      </c>
      <c r="J685" t="s">
        <v>0</v>
      </c>
      <c r="K685">
        <v>2023</v>
      </c>
    </row>
    <row r="686" spans="1:11" x14ac:dyDescent="0.3">
      <c r="A686" t="s">
        <v>16</v>
      </c>
      <c r="B686" t="s">
        <v>15</v>
      </c>
      <c r="C686" t="s">
        <v>21</v>
      </c>
      <c r="D686">
        <v>3160</v>
      </c>
      <c r="E686">
        <v>125</v>
      </c>
      <c r="F686">
        <v>395000</v>
      </c>
      <c r="G686">
        <v>79560</v>
      </c>
      <c r="H686">
        <v>315440</v>
      </c>
      <c r="I686" s="19">
        <v>45170</v>
      </c>
      <c r="J686" t="s">
        <v>22</v>
      </c>
      <c r="K686">
        <v>2023</v>
      </c>
    </row>
    <row r="687" spans="1:11" x14ac:dyDescent="0.3">
      <c r="A687" t="s">
        <v>3</v>
      </c>
      <c r="B687" t="s">
        <v>2</v>
      </c>
      <c r="C687" t="s">
        <v>21</v>
      </c>
      <c r="D687">
        <v>4322</v>
      </c>
      <c r="E687">
        <v>300</v>
      </c>
      <c r="F687">
        <v>1296600</v>
      </c>
      <c r="G687">
        <v>643500</v>
      </c>
      <c r="H687">
        <v>653100</v>
      </c>
      <c r="I687" s="19">
        <v>44866</v>
      </c>
      <c r="J687" t="s">
        <v>18</v>
      </c>
      <c r="K687">
        <v>2022</v>
      </c>
    </row>
    <row r="688" spans="1:11" x14ac:dyDescent="0.3">
      <c r="A688" t="s">
        <v>3</v>
      </c>
      <c r="B688" t="s">
        <v>2</v>
      </c>
      <c r="C688" t="s">
        <v>21</v>
      </c>
      <c r="D688">
        <v>1901</v>
      </c>
      <c r="E688">
        <v>125</v>
      </c>
      <c r="F688">
        <v>237625</v>
      </c>
      <c r="G688">
        <v>292560</v>
      </c>
      <c r="H688">
        <v>-54935</v>
      </c>
      <c r="I688" s="19">
        <v>44896</v>
      </c>
      <c r="J688" t="s">
        <v>17</v>
      </c>
      <c r="K688">
        <v>2022</v>
      </c>
    </row>
    <row r="689" spans="1:11" x14ac:dyDescent="0.3">
      <c r="A689" t="s">
        <v>3</v>
      </c>
      <c r="B689" t="s">
        <v>2</v>
      </c>
      <c r="C689" t="s">
        <v>21</v>
      </c>
      <c r="D689">
        <v>2980</v>
      </c>
      <c r="E689">
        <v>12</v>
      </c>
      <c r="F689">
        <v>35760</v>
      </c>
      <c r="G689">
        <v>2742</v>
      </c>
      <c r="H689">
        <v>33018</v>
      </c>
      <c r="I689" s="19">
        <v>45261</v>
      </c>
      <c r="J689" t="s">
        <v>17</v>
      </c>
      <c r="K689">
        <v>2023</v>
      </c>
    </row>
    <row r="690" spans="1:11" x14ac:dyDescent="0.3">
      <c r="A690" t="s">
        <v>7</v>
      </c>
      <c r="B690" t="s">
        <v>6</v>
      </c>
      <c r="C690" t="s">
        <v>1</v>
      </c>
      <c r="D690">
        <v>4068</v>
      </c>
      <c r="E690">
        <v>20</v>
      </c>
      <c r="F690">
        <v>81360</v>
      </c>
      <c r="G690">
        <v>8655</v>
      </c>
      <c r="H690">
        <v>72705</v>
      </c>
      <c r="I690" s="19">
        <v>45108</v>
      </c>
      <c r="J690" t="s">
        <v>20</v>
      </c>
      <c r="K690">
        <v>2023</v>
      </c>
    </row>
    <row r="691" spans="1:11" x14ac:dyDescent="0.3">
      <c r="A691" t="s">
        <v>19</v>
      </c>
      <c r="B691" t="s">
        <v>6</v>
      </c>
      <c r="C691" t="s">
        <v>1</v>
      </c>
      <c r="D691">
        <v>2105</v>
      </c>
      <c r="E691">
        <v>15</v>
      </c>
      <c r="F691">
        <v>31575</v>
      </c>
      <c r="G691">
        <v>4920</v>
      </c>
      <c r="H691">
        <v>26655</v>
      </c>
      <c r="I691" s="19">
        <v>45108</v>
      </c>
      <c r="J691" t="s">
        <v>20</v>
      </c>
      <c r="K691">
        <v>2023</v>
      </c>
    </row>
    <row r="692" spans="1:11" x14ac:dyDescent="0.3">
      <c r="A692" t="s">
        <v>3</v>
      </c>
      <c r="B692" t="s">
        <v>2</v>
      </c>
      <c r="C692" t="s">
        <v>1</v>
      </c>
      <c r="D692">
        <v>1647</v>
      </c>
      <c r="E692">
        <v>20</v>
      </c>
      <c r="F692">
        <v>32940</v>
      </c>
      <c r="G692">
        <v>2670</v>
      </c>
      <c r="H692">
        <v>30270</v>
      </c>
      <c r="I692" s="19">
        <v>44835</v>
      </c>
      <c r="J692" t="s">
        <v>12</v>
      </c>
      <c r="K692">
        <v>2022</v>
      </c>
    </row>
    <row r="693" spans="1:11" x14ac:dyDescent="0.3">
      <c r="A693" t="s">
        <v>19</v>
      </c>
      <c r="B693" t="s">
        <v>6</v>
      </c>
      <c r="C693" t="s">
        <v>1</v>
      </c>
      <c r="D693">
        <v>235</v>
      </c>
      <c r="E693">
        <v>15</v>
      </c>
      <c r="F693">
        <v>3525</v>
      </c>
      <c r="G693">
        <v>11750</v>
      </c>
      <c r="H693">
        <v>-8225</v>
      </c>
      <c r="I693" s="19">
        <v>45200</v>
      </c>
      <c r="J693" t="s">
        <v>12</v>
      </c>
      <c r="K693">
        <v>2023</v>
      </c>
    </row>
    <row r="694" spans="1:11" x14ac:dyDescent="0.3">
      <c r="A694" t="s">
        <v>7</v>
      </c>
      <c r="B694" t="s">
        <v>6</v>
      </c>
      <c r="C694" t="s">
        <v>1</v>
      </c>
      <c r="D694">
        <v>3617</v>
      </c>
      <c r="E694">
        <v>125</v>
      </c>
      <c r="F694">
        <v>452125</v>
      </c>
      <c r="G694">
        <v>354480</v>
      </c>
      <c r="H694">
        <v>97645</v>
      </c>
      <c r="I694" s="19">
        <v>44866</v>
      </c>
      <c r="J694" t="s">
        <v>18</v>
      </c>
      <c r="K694">
        <v>2022</v>
      </c>
    </row>
    <row r="695" spans="1:11" x14ac:dyDescent="0.3">
      <c r="A695" t="s">
        <v>19</v>
      </c>
      <c r="B695" t="s">
        <v>6</v>
      </c>
      <c r="C695" t="s">
        <v>1</v>
      </c>
      <c r="D695">
        <v>2106</v>
      </c>
      <c r="E695">
        <v>125</v>
      </c>
      <c r="F695">
        <v>263250</v>
      </c>
      <c r="G695">
        <v>66240</v>
      </c>
      <c r="H695">
        <v>197010</v>
      </c>
      <c r="I695" s="19">
        <v>45231</v>
      </c>
      <c r="J695" t="s">
        <v>18</v>
      </c>
      <c r="K695">
        <v>2023</v>
      </c>
    </row>
    <row r="696" spans="1:11" x14ac:dyDescent="0.3">
      <c r="A696" t="s">
        <v>16</v>
      </c>
      <c r="B696" t="s">
        <v>15</v>
      </c>
      <c r="C696" t="s">
        <v>1</v>
      </c>
      <c r="D696">
        <v>2351</v>
      </c>
      <c r="E696">
        <v>20</v>
      </c>
      <c r="F696">
        <v>47020</v>
      </c>
      <c r="G696">
        <v>2930</v>
      </c>
      <c r="H696">
        <v>44090</v>
      </c>
      <c r="I696" s="19">
        <v>45261</v>
      </c>
      <c r="J696" t="s">
        <v>17</v>
      </c>
      <c r="K696">
        <v>2023</v>
      </c>
    </row>
    <row r="697" spans="1:11" x14ac:dyDescent="0.3">
      <c r="A697" t="s">
        <v>16</v>
      </c>
      <c r="B697" t="s">
        <v>15</v>
      </c>
      <c r="C697" t="s">
        <v>13</v>
      </c>
      <c r="D697">
        <v>1897</v>
      </c>
      <c r="E697">
        <v>300</v>
      </c>
      <c r="F697">
        <v>569100</v>
      </c>
      <c r="G697">
        <v>618750</v>
      </c>
      <c r="H697">
        <v>-49650</v>
      </c>
      <c r="I697" s="19">
        <v>44986</v>
      </c>
      <c r="J697" t="s">
        <v>14</v>
      </c>
      <c r="K697">
        <v>2023</v>
      </c>
    </row>
    <row r="698" spans="1:11" x14ac:dyDescent="0.3">
      <c r="A698" t="s">
        <v>11</v>
      </c>
      <c r="B698" t="s">
        <v>10</v>
      </c>
      <c r="C698" t="s">
        <v>13</v>
      </c>
      <c r="D698">
        <v>647</v>
      </c>
      <c r="E698">
        <v>300</v>
      </c>
      <c r="F698">
        <v>194100</v>
      </c>
      <c r="G698">
        <v>136500</v>
      </c>
      <c r="H698">
        <v>57600</v>
      </c>
      <c r="I698" s="19">
        <v>45200</v>
      </c>
      <c r="J698" t="s">
        <v>12</v>
      </c>
      <c r="K698">
        <v>2023</v>
      </c>
    </row>
    <row r="699" spans="1:11" x14ac:dyDescent="0.3">
      <c r="A699" t="s">
        <v>11</v>
      </c>
      <c r="B699" t="s">
        <v>10</v>
      </c>
      <c r="C699" t="s">
        <v>9</v>
      </c>
      <c r="D699">
        <v>3621</v>
      </c>
      <c r="E699">
        <v>7</v>
      </c>
      <c r="F699">
        <v>25347</v>
      </c>
      <c r="G699">
        <v>6840</v>
      </c>
      <c r="H699">
        <v>18507</v>
      </c>
      <c r="I699" s="19">
        <v>44958</v>
      </c>
      <c r="J699" t="s">
        <v>8</v>
      </c>
      <c r="K699">
        <v>2023</v>
      </c>
    </row>
    <row r="700" spans="1:11" x14ac:dyDescent="0.3">
      <c r="A700" t="s">
        <v>7</v>
      </c>
      <c r="B700" t="s">
        <v>6</v>
      </c>
      <c r="C700" t="s">
        <v>5</v>
      </c>
      <c r="D700">
        <v>3221</v>
      </c>
      <c r="E700">
        <v>7</v>
      </c>
      <c r="F700">
        <v>22547</v>
      </c>
      <c r="G700">
        <v>3615</v>
      </c>
      <c r="H700">
        <v>18932</v>
      </c>
      <c r="I700" s="19">
        <v>45017</v>
      </c>
      <c r="J700" t="s">
        <v>4</v>
      </c>
      <c r="K700">
        <v>2023</v>
      </c>
    </row>
    <row r="701" spans="1:11" x14ac:dyDescent="0.3">
      <c r="A701" t="s">
        <v>3</v>
      </c>
      <c r="B701" t="s">
        <v>2</v>
      </c>
      <c r="C701" t="s">
        <v>1</v>
      </c>
      <c r="D701">
        <v>493</v>
      </c>
      <c r="E701">
        <v>12</v>
      </c>
      <c r="F701">
        <v>5916</v>
      </c>
      <c r="G701">
        <v>5418</v>
      </c>
      <c r="H701">
        <v>498</v>
      </c>
      <c r="I701" s="19">
        <v>45047</v>
      </c>
      <c r="J701" t="s">
        <v>0</v>
      </c>
      <c r="K701">
        <v>2023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F0ED-E05B-4638-B10A-7EF41D96FE3F}">
  <dimension ref="A3:B10"/>
  <sheetViews>
    <sheetView showGridLines="0" zoomScale="156" workbookViewId="0">
      <selection activeCell="A18" sqref="A18"/>
    </sheetView>
  </sheetViews>
  <sheetFormatPr defaultRowHeight="14" x14ac:dyDescent="0.3"/>
  <cols>
    <col min="1" max="1" width="12.25" bestFit="1" customWidth="1"/>
    <col min="2" max="2" width="15.4140625" bestFit="1" customWidth="1"/>
  </cols>
  <sheetData>
    <row r="3" spans="1:2" x14ac:dyDescent="0.3">
      <c r="A3" s="20" t="s">
        <v>38</v>
      </c>
      <c r="B3" t="s">
        <v>41</v>
      </c>
    </row>
    <row r="4" spans="1:2" x14ac:dyDescent="0.3">
      <c r="A4" s="21" t="s">
        <v>21</v>
      </c>
      <c r="B4">
        <v>264238</v>
      </c>
    </row>
    <row r="5" spans="1:2" x14ac:dyDescent="0.3">
      <c r="A5" s="21" t="s">
        <v>24</v>
      </c>
      <c r="B5">
        <v>204165</v>
      </c>
    </row>
    <row r="6" spans="1:2" x14ac:dyDescent="0.3">
      <c r="A6" s="21" t="s">
        <v>13</v>
      </c>
      <c r="B6">
        <v>202791</v>
      </c>
    </row>
    <row r="7" spans="1:2" x14ac:dyDescent="0.3">
      <c r="A7" s="21" t="s">
        <v>1</v>
      </c>
      <c r="B7">
        <v>262837</v>
      </c>
    </row>
    <row r="8" spans="1:2" x14ac:dyDescent="0.3">
      <c r="A8" s="21" t="s">
        <v>9</v>
      </c>
      <c r="B8">
        <v>225466</v>
      </c>
    </row>
    <row r="9" spans="1:2" x14ac:dyDescent="0.3">
      <c r="A9" s="21" t="s">
        <v>5</v>
      </c>
      <c r="B9">
        <v>506598</v>
      </c>
    </row>
    <row r="10" spans="1:2" x14ac:dyDescent="0.3">
      <c r="A10" s="21" t="s">
        <v>39</v>
      </c>
      <c r="B10">
        <v>1666095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EF236-D8F2-47C9-A2F7-8E6CEBF31EC3}">
  <dimension ref="A3:H9"/>
  <sheetViews>
    <sheetView showGridLines="0" workbookViewId="0">
      <selection activeCell="N10" sqref="N10"/>
    </sheetView>
  </sheetViews>
  <sheetFormatPr defaultRowHeight="14" x14ac:dyDescent="0.3"/>
  <cols>
    <col min="1" max="1" width="16.1640625" bestFit="1" customWidth="1"/>
    <col min="2" max="2" width="14.6640625" bestFit="1" customWidth="1"/>
    <col min="3" max="3" width="9.6640625" bestFit="1" customWidth="1"/>
    <col min="4" max="4" width="6.75" bestFit="1" customWidth="1"/>
    <col min="5" max="5" width="8.1640625" bestFit="1" customWidth="1"/>
    <col min="6" max="6" width="9.1640625" bestFit="1" customWidth="1"/>
    <col min="7" max="7" width="7.58203125" bestFit="1" customWidth="1"/>
    <col min="8" max="8" width="10.25" bestFit="1" customWidth="1"/>
  </cols>
  <sheetData>
    <row r="3" spans="1:8" x14ac:dyDescent="0.3">
      <c r="A3" s="22" t="s">
        <v>41</v>
      </c>
      <c r="B3" s="22" t="s">
        <v>40</v>
      </c>
      <c r="C3" s="23"/>
      <c r="D3" s="23"/>
      <c r="E3" s="23"/>
      <c r="F3" s="23"/>
      <c r="G3" s="23"/>
      <c r="H3" s="23"/>
    </row>
    <row r="4" spans="1:8" x14ac:dyDescent="0.3">
      <c r="A4" s="22" t="s">
        <v>38</v>
      </c>
      <c r="B4" s="23" t="s">
        <v>21</v>
      </c>
      <c r="C4" s="23" t="s">
        <v>24</v>
      </c>
      <c r="D4" s="23" t="s">
        <v>13</v>
      </c>
      <c r="E4" s="23" t="s">
        <v>1</v>
      </c>
      <c r="F4" s="23" t="s">
        <v>9</v>
      </c>
      <c r="G4" s="23" t="s">
        <v>5</v>
      </c>
      <c r="H4" s="23" t="s">
        <v>39</v>
      </c>
    </row>
    <row r="5" spans="1:8" x14ac:dyDescent="0.3">
      <c r="A5" s="24" t="s">
        <v>6</v>
      </c>
      <c r="B5" s="23">
        <v>98410</v>
      </c>
      <c r="C5" s="23">
        <v>79199</v>
      </c>
      <c r="D5" s="23">
        <v>85075</v>
      </c>
      <c r="E5" s="23">
        <v>118756</v>
      </c>
      <c r="F5" s="23">
        <v>90928</v>
      </c>
      <c r="G5" s="23">
        <v>209185</v>
      </c>
      <c r="H5" s="23">
        <v>681553</v>
      </c>
    </row>
    <row r="6" spans="1:8" x14ac:dyDescent="0.3">
      <c r="A6" s="24" t="s">
        <v>15</v>
      </c>
      <c r="B6" s="23">
        <v>52105</v>
      </c>
      <c r="C6" s="23">
        <v>43477</v>
      </c>
      <c r="D6" s="23">
        <v>36643</v>
      </c>
      <c r="E6" s="23">
        <v>49527</v>
      </c>
      <c r="F6" s="23">
        <v>55528</v>
      </c>
      <c r="G6" s="23">
        <v>96865</v>
      </c>
      <c r="H6" s="23">
        <v>334145</v>
      </c>
    </row>
    <row r="7" spans="1:8" x14ac:dyDescent="0.3">
      <c r="A7" s="24" t="s">
        <v>2</v>
      </c>
      <c r="B7" s="23">
        <v>56422</v>
      </c>
      <c r="C7" s="23">
        <v>35325</v>
      </c>
      <c r="D7" s="23">
        <v>42415</v>
      </c>
      <c r="E7" s="23">
        <v>48383</v>
      </c>
      <c r="F7" s="23">
        <v>36482</v>
      </c>
      <c r="G7" s="23">
        <v>107004</v>
      </c>
      <c r="H7" s="23">
        <v>326031</v>
      </c>
    </row>
    <row r="8" spans="1:8" x14ac:dyDescent="0.3">
      <c r="A8" s="24" t="s">
        <v>10</v>
      </c>
      <c r="B8" s="23">
        <v>57301</v>
      </c>
      <c r="C8" s="23">
        <v>46164</v>
      </c>
      <c r="D8" s="23">
        <v>38658</v>
      </c>
      <c r="E8" s="23">
        <v>46171</v>
      </c>
      <c r="F8" s="23">
        <v>42528</v>
      </c>
      <c r="G8" s="23">
        <v>93544</v>
      </c>
      <c r="H8" s="23">
        <v>324366</v>
      </c>
    </row>
    <row r="9" spans="1:8" x14ac:dyDescent="0.3">
      <c r="A9" s="24" t="s">
        <v>39</v>
      </c>
      <c r="B9" s="23">
        <v>264238</v>
      </c>
      <c r="C9" s="23">
        <v>204165</v>
      </c>
      <c r="D9" s="23">
        <v>202791</v>
      </c>
      <c r="E9" s="23">
        <v>262837</v>
      </c>
      <c r="F9" s="23">
        <v>225466</v>
      </c>
      <c r="G9" s="23">
        <v>506598</v>
      </c>
      <c r="H9" s="23">
        <v>1666095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F55D-3C9A-4F61-A6AB-9A02D6EB91B5}">
  <dimension ref="A1:Q49"/>
  <sheetViews>
    <sheetView showGridLines="0" tabSelected="1" topLeftCell="A8" zoomScale="60" zoomScaleNormal="60" workbookViewId="0">
      <selection activeCell="T13" sqref="T13"/>
    </sheetView>
  </sheetViews>
  <sheetFormatPr defaultRowHeight="14" x14ac:dyDescent="0.3"/>
  <cols>
    <col min="2" max="2" width="17.5" bestFit="1" customWidth="1"/>
    <col min="4" max="4" width="10.6640625" customWidth="1"/>
    <col min="5" max="5" width="15.25" customWidth="1"/>
    <col min="6" max="6" width="18.25" customWidth="1"/>
    <col min="7" max="7" width="14.6640625" customWidth="1"/>
    <col min="8" max="8" width="7.08203125" customWidth="1"/>
    <col min="9" max="9" width="11.5" customWidth="1"/>
    <col min="10" max="10" width="16.9140625" customWidth="1"/>
    <col min="13" max="13" width="8.6640625" customWidth="1"/>
    <col min="14" max="14" width="16.25" customWidth="1"/>
  </cols>
  <sheetData>
    <row r="1" spans="1:17" s="31" customFormat="1" x14ac:dyDescent="0.3">
      <c r="A1" s="50" t="s">
        <v>42</v>
      </c>
      <c r="B1" s="50"/>
      <c r="C1" s="50"/>
      <c r="D1" s="50"/>
      <c r="E1" s="50"/>
      <c r="F1" s="50"/>
      <c r="G1" s="50"/>
      <c r="H1" s="50"/>
      <c r="I1" s="50"/>
      <c r="J1" s="50"/>
      <c r="K1" s="50"/>
      <c r="L1" s="50"/>
      <c r="M1" s="50"/>
      <c r="N1" s="50"/>
      <c r="O1" s="50"/>
      <c r="P1" s="50"/>
      <c r="Q1" s="50"/>
    </row>
    <row r="2" spans="1:17" s="31" customFormat="1" ht="30.5" customHeight="1" x14ac:dyDescent="0.3">
      <c r="A2" s="50"/>
      <c r="B2" s="50"/>
      <c r="C2" s="50"/>
      <c r="D2" s="50"/>
      <c r="E2" s="50"/>
      <c r="F2" s="50"/>
      <c r="G2" s="50"/>
      <c r="H2" s="50"/>
      <c r="I2" s="50"/>
      <c r="J2" s="50"/>
      <c r="K2" s="50"/>
      <c r="L2" s="50"/>
      <c r="M2" s="50"/>
      <c r="N2" s="50"/>
      <c r="O2" s="50"/>
      <c r="P2" s="50"/>
      <c r="Q2" s="50"/>
    </row>
    <row r="3" spans="1:17" s="37" customFormat="1" ht="31" customHeight="1" x14ac:dyDescent="0.3">
      <c r="A3" s="51" t="s">
        <v>119</v>
      </c>
      <c r="B3" s="51"/>
      <c r="C3" s="51"/>
      <c r="D3" s="51"/>
      <c r="E3" s="51"/>
      <c r="F3" s="51"/>
      <c r="G3" s="51"/>
      <c r="H3" s="51"/>
      <c r="I3" s="51"/>
      <c r="J3" s="51"/>
      <c r="K3" s="51"/>
      <c r="L3" s="51"/>
      <c r="M3" s="51"/>
      <c r="N3" s="51"/>
      <c r="O3" s="51"/>
      <c r="P3" s="51"/>
      <c r="Q3" s="51"/>
    </row>
    <row r="4" spans="1:17" s="37" customFormat="1" ht="10.5" customHeight="1" x14ac:dyDescent="0.3">
      <c r="A4" s="38"/>
      <c r="B4" s="38"/>
      <c r="C4" s="38"/>
      <c r="D4" s="38"/>
      <c r="E4" s="38"/>
      <c r="F4" s="38"/>
      <c r="G4" s="38"/>
      <c r="H4" s="38"/>
      <c r="I4" s="38"/>
      <c r="J4" s="38"/>
      <c r="K4" s="38"/>
      <c r="L4" s="38"/>
      <c r="M4" s="38"/>
      <c r="N4" s="38"/>
      <c r="O4" s="38"/>
      <c r="P4" s="38"/>
    </row>
    <row r="8" spans="1:17" ht="27" customHeight="1" x14ac:dyDescent="0.3"/>
    <row r="9" spans="1:17" ht="16" x14ac:dyDescent="0.4">
      <c r="B9" s="25" t="s">
        <v>46</v>
      </c>
      <c r="E9" s="26" t="s">
        <v>31</v>
      </c>
      <c r="G9" s="28" t="s">
        <v>47</v>
      </c>
      <c r="J9" s="29" t="s">
        <v>48</v>
      </c>
      <c r="N9" s="29" t="s">
        <v>49</v>
      </c>
    </row>
    <row r="10" spans="1:17" ht="15.5" x14ac:dyDescent="0.35">
      <c r="B10" s="27">
        <f>GETPIVOTDATA("Sum of Gross Sales",KPI_Analysis!$A$3)</f>
        <v>198485517</v>
      </c>
      <c r="E10" s="27">
        <f>GETPIVOTDATA("Sum of COGS",KPI_Analysis!$A$3)</f>
        <v>101832648</v>
      </c>
      <c r="G10" s="27">
        <f>GETPIVOTDATA("Sum of Profit",KPI_Analysis!$A$3)</f>
        <v>96652869</v>
      </c>
      <c r="J10" s="27">
        <f>GETPIVOTDATA("Sum of Units Sold",KPI_Analysis!$A$3)</f>
        <v>1666095</v>
      </c>
      <c r="N10" s="30">
        <f>G10/B10</f>
        <v>0.48695174570344091</v>
      </c>
    </row>
    <row r="11" spans="1:17" ht="24" customHeight="1" x14ac:dyDescent="0.3"/>
    <row r="12" spans="1:17" ht="24" customHeight="1" x14ac:dyDescent="0.3"/>
    <row r="13" spans="1:17" ht="24" customHeight="1" x14ac:dyDescent="0.3"/>
    <row r="16" spans="1:17" x14ac:dyDescent="0.3">
      <c r="A16" s="36"/>
      <c r="B16" s="36"/>
      <c r="C16" s="36"/>
      <c r="D16" s="36"/>
      <c r="E16" s="36"/>
      <c r="F16" s="36"/>
      <c r="G16" s="36"/>
      <c r="H16" s="36"/>
    </row>
    <row r="17" spans="1:8" x14ac:dyDescent="0.3">
      <c r="A17" s="36"/>
      <c r="B17" s="36"/>
      <c r="C17" s="36"/>
      <c r="D17" s="36"/>
      <c r="E17" s="36"/>
      <c r="F17" s="36"/>
      <c r="G17" s="36"/>
      <c r="H17" s="36"/>
    </row>
    <row r="49" spans="1:1" x14ac:dyDescent="0.3">
      <c r="A49" t="s">
        <v>117</v>
      </c>
    </row>
  </sheetData>
  <mergeCells count="2">
    <mergeCell ref="A1:Q2"/>
    <mergeCell ref="A3: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8D84AF-3554-46C7-9220-E2BCFC7CD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Overview</vt:lpstr>
      <vt:lpstr>Data</vt:lpstr>
      <vt:lpstr>KPI_Analysis</vt:lpstr>
      <vt:lpstr>Cleaned_Data</vt:lpstr>
      <vt:lpstr>Pivot_Units</vt:lpstr>
      <vt:lpstr>Pivot_Sales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JAGTAP</dc:creator>
  <cp:lastModifiedBy>AYUSH JAGTAP</cp:lastModifiedBy>
  <dcterms:created xsi:type="dcterms:W3CDTF">2026-08-25T09:26:30Z</dcterms:created>
  <dcterms:modified xsi:type="dcterms:W3CDTF">2026-10-11T11:48:56Z</dcterms:modified>
</cp:coreProperties>
</file>